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en" sheetId="1" r:id="rIdS1"/>
    <sheet name="Trafico" sheetId="2" r:id="rIdS2"/>
    <sheet name="Contenido" sheetId="3" r:id="rIdS3"/>
    <sheet name="Audiencia" sheetId="4" r:id="rIdS4"/>
    <sheet name="Newsletter" sheetId="5" r:id="rIdS5"/>
    <sheet name="Datos_GA4" sheetId="6" r:id="rIdS6"/>
    <sheet name="Datos_Portal" sheetId="7" r:id="rIdS7"/>
    <sheet name="Definiciones" sheetId="8" r:id="rIdS8"/>
    <sheet name="Instrucciones" sheetId="9" r:id="rIdS9"/>
  </sheets>
  <definedNames>
    <definedName name="GA4_Resumen_Mes">Datos_GA4!$A$6:$A$41</definedName>
    <definedName name="GA4_Resumen_Usuarios">Datos_GA4!$B$6:$B$41</definedName>
    <definedName name="GA4_Resumen_Sesiones">Datos_GA4!$E$6:$E$41</definedName>
    <definedName name="GA4_Resumen_Vistas">Datos_GA4!$F$6:$F$41</definedName>
    <definedName name="GA4_Disp_Categoria">Datos_GA4!$B$123:$B$158</definedName>
    <definedName name="GA4_Disp_Usuarios">Datos_GA4!$C$123:$C$158</definedName>
    <definedName name="Portal_Calidad_Mes">Datos_Portal!$A$19:$A$28</definedName>
    <definedName name="Portal_Calidad_Notas">Datos_Portal!$B$19:$B$28</definedName>
    <definedName name="Portal_Calidad_Score">Datos_Portal!$C$19:$C$28</definedName>
    <definedName name="Portal_Lecturas_Mes">Datos_Portal!$A$43:$A$44</definedName>
    <definedName name="Portal_Lecturas">Datos_Portal!$B$43:$B$44</definedName>
    <definedName name="Portal_Lectores">Datos_Portal!$C$43:$C$44</definedName>
    <definedName name="Portal_Decena">Datos_Portal!$A$32:$A$39</definedName>
    <definedName name="Portal_Decena_Notas">Datos_Portal!$B$32:$B$39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sz val="11"/>
      <name val="Calibri"/>
    </font>
    <font>
      <sz val="18"/>
      <b/>
      <color rgb="FF111111"/>
      <name val="Calibri"/>
    </font>
    <font>
      <sz val="11"/>
      <b/>
      <color rgb="FFFFFFFF"/>
      <name val="Calibri"/>
    </font>
    <font>
      <sz val="20"/>
      <b/>
      <color rgb="FF1A7F37"/>
      <name val="Calibri"/>
    </font>
    <font>
      <sz val="11"/>
      <color rgb="FF7A4E00"/>
      <name val="Calibri"/>
    </font>
    <font>
      <sz val="10"/>
      <i/>
      <color rgb="FF666666"/>
      <name val="Calibri"/>
    </font>
    <font>
      <sz val="12"/>
      <b/>
      <color rgb="FF1111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3A2E"/>
        <bgColor indexed="64"/>
      </patternFill>
    </fill>
    <fill>
      <patternFill patternType="solid">
        <fgColor rgb="FFFFE9B0"/>
        <bgColor indexed="64"/>
      </patternFill>
    </fill>
    <fill>
      <patternFill patternType="solid">
        <fgColor rgb="FFF2F4F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 wrapText="1"/>
    </xf>
    <xf numFmtId="0" fontId="1" fillId="0" borderId="0" xfId="0"/>
    <xf numFmtId="0" fontId="2" fillId="2" borderId="0" xfId="0" applyAlignment="1">
      <alignment vertical="center" wrapText="1"/>
    </xf>
    <xf numFmtId="0" fontId="3" fillId="0" borderId="0" xfId="0"/>
    <xf numFmtId="0" fontId="4" fillId="3" borderId="0" xfId="0" applyAlignment="1">
      <alignment vertical="top" wrapText="1"/>
    </xf>
    <xf numFmtId="0" fontId="5" fillId="0" borderId="0" xfId="0" applyAlignment="1">
      <alignment vertical="top" wrapText="1"/>
    </xf>
    <xf numFmtId="0" fontId="6" fillId="4" borderId="1" xfId="0" applyAlignment="1">
      <alignment vertical="center"/>
    </xf>
    <xf numFmtId="164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S1" Type="http://schemas.openxmlformats.org/officeDocument/2006/relationships/worksheet" Target="worksheets/sheet1.xml"/><Relationship Id="rIdS2" Type="http://schemas.openxmlformats.org/officeDocument/2006/relationships/worksheet" Target="worksheets/sheet2.xml"/><Relationship Id="rIdS3" Type="http://schemas.openxmlformats.org/officeDocument/2006/relationships/worksheet" Target="worksheets/sheet3.xml"/><Relationship Id="rIdS4" Type="http://schemas.openxmlformats.org/officeDocument/2006/relationships/worksheet" Target="worksheets/sheet4.xml"/><Relationship Id="rIdS5" Type="http://schemas.openxmlformats.org/officeDocument/2006/relationships/worksheet" Target="worksheets/sheet5.xml"/><Relationship Id="rIdS6" Type="http://schemas.openxmlformats.org/officeDocument/2006/relationships/worksheet" Target="worksheets/sheet6.xml"/><Relationship Id="rIdS7" Type="http://schemas.openxmlformats.org/officeDocument/2006/relationships/worksheet" Target="worksheets/sheet7.xml"/><Relationship Id="rIdS8" Type="http://schemas.openxmlformats.org/officeDocument/2006/relationships/worksheet" Target="worksheets/sheet8.xml"/><Relationship Id="rIdS9" Type="http://schemas.openxmlformats.org/officeDocument/2006/relationships/worksheet" Target="worksheets/sheet9.xml"/><Relationship Id="rIdStyles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p>
            <a:pPr>
              <a:defRPr sz="1100" b="1"/>
            </a:pPr>
            <a:r>
              <a:rPr lang="es-MX" sz="1100" b="1"/>
              <a:t>Usuarios y sesiones (se llena al pegar el export de GA4)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Trafico!$B$4</c:f>
            </c:strRef>
          </c:tx>
          <c:spPr>
            <a:solidFill>
              <a:srgbClr val="1F3A2E"/>
            </a:solidFill>
            <a:ln w="28575">
              <a:solidFill>
                <a:srgbClr val="1F3A2E"/>
              </a:solidFill>
            </a:ln>
          </c:spPr>
          <c:marker>
            <c:symbol val="circle"/>
            <c:size val="5"/>
          </c:marker>
          <c:cat>
            <c:strRef>
              <c:f>Trafico!$A$5:$A$16</c:f>
            </c:strRef>
          </c:cat>
          <c:val>
            <c:numRef>
              <c:f>Trafico!$B$5:$B$16</c:f>
            </c:numRef>
          </c:val>
          <c:smooth val="0"/>
        </c:ser>
        <c:ser>
          <c:idx val="1"/>
          <c:order val="1"/>
          <c:tx>
            <c:strRef>
              <c:f>Trafico!$C$4</c:f>
            </c:strRef>
          </c:tx>
          <c:spPr>
            <a:solidFill>
              <a:srgbClr val="9DC08B"/>
            </a:solidFill>
            <a:ln w="28575">
              <a:solidFill>
                <a:srgbClr val="9DC08B"/>
              </a:solidFill>
            </a:ln>
          </c:spPr>
          <c:marker>
            <c:symbol val="circle"/>
            <c:size val="5"/>
          </c:marker>
          <c:cat>
            <c:strRef>
              <c:f>Trafico!$A$5:$A$16</c:f>
            </c:strRef>
          </c:cat>
          <c:val>
            <c:numRef>
              <c:f>Trafico!$C$5:$C$16</c:f>
            </c:numRef>
          </c:val>
          <c:smooth val="0"/>
        </c:ser>
        <c:marker val="1"/>
        <c:axId val="111"/>
        <c:axId val="222"/>
      </c:lineChart>
      <c:catAx>
        <c:axId val="111"/>
        <c:scaling>
          <c:orientation val="minMax"/>
        </c:scaling>
        <c:delete val="0"/>
        <c:axPos val="b"/>
        <c:crossAx val="222"/>
      </c:catAx>
      <c:valAx>
        <c:axId val="22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p>
                <a:r>
                  <a:rPr lang="es-MX" sz="900"/>
                  <a:t>Usuarios / sesiones</a:t>
                </a:r>
              </a:p>
            </c:rich>
          </c:tx>
          <c:overlay val="0"/>
        </c:title>
        <c:crossAx val="111"/>
      </c:valAx>
    </c:plotArea>
    <c:legend>
      <c:legendPos val="b"/>
      <c:overlay val="0"/>
    </c:legend>
    <c:plotVisOnly val="1"/>
    <c:dispBlanksAs val="gap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p>
            <a:pPr>
              <a:defRPr sz="1100" b="1"/>
            </a:pPr>
            <a:r>
              <a:rPr lang="es-MX" sz="1100" b="1"/>
              <a:t>Notas publicadas por mes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Contenido!$B$4</c:f>
            </c:strRef>
          </c:tx>
          <c:spPr>
            <a:solidFill>
              <a:srgbClr val="1F3A2E"/>
            </a:solidFill>
          </c:spPr>
          <c:cat>
            <c:strRef>
              <c:f>Contenido!$A$5:$A$14</c:f>
            </c:strRef>
          </c:cat>
          <c:val>
            <c:numRef>
              <c:f>Contenido!$B$5:$B$14</c:f>
            </c:numRef>
          </c:val>
        </c:ser>
        <c:gapWidth val="60"/>
        <c:axId val="111"/>
        <c:axId val="222"/>
      </c:barChart>
      <c:catAx>
        <c:axId val="111"/>
        <c:scaling>
          <c:orientation val="minMax"/>
        </c:scaling>
        <c:delete val="0"/>
        <c:axPos val="b"/>
        <c:crossAx val="222"/>
      </c:catAx>
      <c:valAx>
        <c:axId val="22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p>
                <a:r>
                  <a:rPr lang="es-MX" sz="900"/>
                  <a:t>Notas</a:t>
                </a:r>
              </a:p>
            </c:rich>
          </c:tx>
          <c:overlay val="0"/>
        </c:title>
        <c:crossAx val="111"/>
      </c:valAx>
    </c:plotArea>
    <c:legend>
      <c:legendPos val="b"/>
      <c:overlay val="0"/>
    </c:legend>
    <c:plotVisOnly val="1"/>
    <c:dispBlanksAs val="gap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p>
            <a:pPr>
              <a:defRPr sz="1100" b="1"/>
            </a:pPr>
            <a:r>
              <a:rPr lang="es-MX" sz="1100" b="1"/>
              <a:t>Score promedio de la boleta por mes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Contenido!$C$4</c:f>
            </c:strRef>
          </c:tx>
          <c:spPr>
            <a:solidFill>
              <a:srgbClr val="4C9A2A"/>
            </a:solidFill>
            <a:ln w="28575">
              <a:solidFill>
                <a:srgbClr val="4C9A2A"/>
              </a:solidFill>
            </a:ln>
          </c:spPr>
          <c:marker>
            <c:symbol val="circle"/>
            <c:size val="5"/>
          </c:marker>
          <c:cat>
            <c:strRef>
              <c:f>Contenido!$A$5:$A$14</c:f>
            </c:strRef>
          </c:cat>
          <c:val>
            <c:numRef>
              <c:f>Contenido!$C$5:$C$14</c:f>
            </c:numRef>
          </c:val>
          <c:smooth val="0"/>
        </c:ser>
        <c:marker val="1"/>
        <c:axId val="111"/>
        <c:axId val="222"/>
      </c:lineChart>
      <c:catAx>
        <c:axId val="111"/>
        <c:scaling>
          <c:orientation val="minMax"/>
        </c:scaling>
        <c:delete val="0"/>
        <c:axPos val="b"/>
        <c:crossAx val="222"/>
      </c:catAx>
      <c:valAx>
        <c:axId val="22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p>
                <a:r>
                  <a:rPr lang="es-MX" sz="900"/>
                  <a:t>Score 0-99</a:t>
                </a:r>
              </a:p>
            </c:rich>
          </c:tx>
          <c:overlay val="0"/>
        </c:title>
        <c:crossAx val="111"/>
      </c:valAx>
    </c:plotArea>
    <c:legend>
      <c:legendPos val="b"/>
      <c:overlay val="0"/>
    </c:legend>
    <c:plotVisOnly val="1"/>
    <c:dispBlanksAs val="gap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p>
            <a:pPr>
              <a:defRPr sz="1100" b="1"/>
            </a:pPr>
            <a:r>
              <a:rPr lang="es-MX" sz="1100" b="1"/>
              <a:t>Lecturas y lectores únicos por mes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Audiencia!$B$4</c:f>
            </c:strRef>
          </c:tx>
          <c:spPr>
            <a:solidFill>
              <a:srgbClr val="1F3A2E"/>
            </a:solidFill>
          </c:spPr>
          <c:cat>
            <c:strRef>
              <c:f>Audiencia!$A$5:$A$6</c:f>
            </c:strRef>
          </c:cat>
          <c:val>
            <c:numRef>
              <c:f>Audiencia!$B$5:$B$6</c:f>
            </c:numRef>
          </c:val>
        </c:ser>
        <c:ser>
          <c:idx val="1"/>
          <c:order val="1"/>
          <c:tx>
            <c:strRef>
              <c:f>Audiencia!$C$4</c:f>
            </c:strRef>
          </c:tx>
          <c:spPr>
            <a:solidFill>
              <a:srgbClr val="9DC08B"/>
            </a:solidFill>
          </c:spPr>
          <c:cat>
            <c:strRef>
              <c:f>Audiencia!$A$5:$A$6</c:f>
            </c:strRef>
          </c:cat>
          <c:val>
            <c:numRef>
              <c:f>Audiencia!$C$5:$C$6</c:f>
            </c:numRef>
          </c:val>
        </c:ser>
        <c:gapWidth val="60"/>
        <c:axId val="111"/>
        <c:axId val="222"/>
      </c:barChart>
      <c:catAx>
        <c:axId val="111"/>
        <c:scaling>
          <c:orientation val="minMax"/>
        </c:scaling>
        <c:delete val="0"/>
        <c:axPos val="b"/>
        <c:crossAx val="222"/>
      </c:catAx>
      <c:valAx>
        <c:axId val="22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p>
                <a:r>
                  <a:rPr lang="es-MX" sz="900"/>
                  <a:t>Personas / lecturas</a:t>
                </a:r>
              </a:p>
            </c:rich>
          </c:tx>
          <c:overlay val="0"/>
        </c:title>
        <c:crossAx val="111"/>
      </c:valAx>
    </c:plotArea>
    <c:legend>
      <c:legendPos val="b"/>
      <c:overlay val="0"/>
    </c:legend>
    <c:plotVisOnly val="1"/>
    <c:dispBlanksAs val="gap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p>
            <a:pPr>
              <a:defRPr sz="1100" b="1"/>
            </a:pPr>
            <a:r>
              <a:rPr lang="es-MX" sz="1100" b="1"/>
              <a:t>Distribución de scores del archivo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Datos_Portal!$B$31</c:f>
            </c:strRef>
          </c:tx>
          <c:spPr>
            <a:solidFill>
              <a:srgbClr val="1F3A2E"/>
            </a:solidFill>
          </c:spPr>
          <c:cat>
            <c:strRef>
              <c:f>Portal_Decena</c:f>
            </c:strRef>
          </c:cat>
          <c:val>
            <c:numRef>
              <c:f>Portal_Decena_Notas</c:f>
            </c:numRef>
          </c:val>
        </c:ser>
        <c:gapWidth val="60"/>
        <c:axId val="111"/>
        <c:axId val="222"/>
      </c:barChart>
      <c:catAx>
        <c:axId val="111"/>
        <c:scaling>
          <c:orientation val="minMax"/>
        </c:scaling>
        <c:delete val="0"/>
        <c:axPos val="b"/>
        <c:crossAx val="222"/>
      </c:catAx>
      <c:valAx>
        <c:axId val="22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p>
                <a:r>
                  <a:rPr lang="es-MX" sz="900"/>
                  <a:t>Notas</a:t>
                </a:r>
              </a:p>
            </c:rich>
          </c:tx>
          <c:overlay val="0"/>
        </c:title>
        <c:crossAx val="111"/>
      </c:valAx>
    </c:plotArea>
    <c:legend>
      <c:legendPos val="b"/>
      <c:overlay val="0"/>
    </c:legend>
    <c:plotVisOnly val="1"/>
    <c:dispBlanksAs val="gap"/>
  </c:chart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7</xdr:col>
      <xdr:colOff>0</xdr:colOff>
      <xdr:row>2</xdr:row>
      <xdr:rowOff>0</xdr:rowOff>
    </xdr:from>
    <xdr:to>
      <xdr:col>16</xdr:col>
      <xdr:colOff>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7</xdr:col>
      <xdr:colOff>0</xdr:colOff>
      <xdr:row>2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>
    <xdr:from>
      <xdr:col>7</xdr:col>
      <xdr:colOff>0</xdr:colOff>
      <xdr:row>19</xdr:row>
      <xdr:rowOff>0</xdr:rowOff>
    </xdr:from>
    <xdr:to>
      <xdr:col>14</xdr:col>
      <xdr:colOff>0</xdr:colOff>
      <xdr:row>35</xdr:row>
      <xdr:rowOff>0</xdr:rowOff>
    </xdr:to>
    <xdr:graphicFrame macro=""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5</xdr:col>
      <xdr:colOff>0</xdr:colOff>
      <xdr:row>2</xdr:row>
      <xdr:rowOff>0</xdr:rowOff>
    </xdr:from>
    <xdr:to>
      <xdr:col>13</xdr:col>
      <xdr:colOff>0</xdr:colOff>
      <xdr:row>20</xdr:row>
      <xdr:rowOff>0</xdr:rowOff>
    </xdr:to>
    <xdr:graphicFrame macro="">
      <xdr:nvGraphicFramePr>
        <xdr:cNvPr id="2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8</xdr:col>
      <xdr:colOff>0</xdr:colOff>
      <xdr:row>2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2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34" customWidth="1"/>
    <col min="2" max="2" width="16" customWidth="1"/>
    <col min="3" max="3" width="14" customWidth="1"/>
    <col min="4" max="4" width="14" customWidth="1"/>
    <col min="5" max="5" width="10" customWidth="1"/>
    <col min="6" max="6" width="12" customWidth="1"/>
  </cols>
  <sheetData>
    <row r="1">
      <c r="A1" s="1" t="inlineStr">
        <is>
          <t xml:space="preserve">Playbook — Métricas del website</t>
        </is>
      </c>
    </row>
    <row r="2">
      <c r="A2" s="5" t="inlineStr">
        <is>
          <t xml:space="preserve">Propuesta de dashboard · generado 2026-08-25 · GA4 G-KVE4HF75TF</t>
        </is>
      </c>
    </row>
    <row r="4">
      <c r="A4" s="6" t="inlineStr">
        <is>
          <t xml:space="preserve">LO QUE YA SE PUEDE MEDIR HOY (dato propio del portal)</t>
        </is>
      </c>
    </row>
    <row r="5">
      <c r="A5" s="2" t="inlineStr">
        <is>
          <t xml:space="preserve">KPI</t>
        </is>
      </c>
      <c r="B5" s="2" t="inlineStr">
        <is>
          <t xml:space="preserve">Acumulado</t>
        </is>
      </c>
      <c r="C5" s="2" t="inlineStr">
        <is>
          <t xml:space="preserve">Último mes</t>
        </is>
      </c>
      <c r="D5" s="2" t="inlineStr">
        <is>
          <t xml:space="preserve">Mes anterior</t>
        </is>
      </c>
      <c r="E5" s="2" t="inlineStr">
        <is>
          <t xml:space="preserve">Δ</t>
        </is>
      </c>
      <c r="F5" s="2" t="inlineStr">
        <is>
          <t xml:space="preserve">Tendencia</t>
        </is>
      </c>
    </row>
    <row r="6">
      <c r="A6" s="0" t="inlineStr">
        <is>
          <t xml:space="preserve">Notas publicadas</t>
        </is>
      </c>
      <c r="B6" s="0">
        <f>SUM(Datos_Portal!B19:B28)</f>
      </c>
      <c r="C6" s="0">
        <f>INDEX(Datos_Portal!B19:B28,COUNT(Datos_Portal!B19:B28))</f>
      </c>
      <c r="D6" s="0">
        <f>INDEX(Datos_Portal!B19:B28,COUNT(Datos_Portal!B19:B28)-1)</f>
      </c>
      <c r="E6" s="0">
        <f>IFERROR(C6-D6,"")</f>
      </c>
      <c r="F6" s="0">
        <f>IF(N(E6)&gt;0,"▲ sube",IF(N(E6)&lt;0,"▼ baja","= igual"))</f>
      </c>
    </row>
    <row r="7">
      <c r="A7" s="0" t="inlineStr">
        <is>
          <t xml:space="preserve">Score promedio</t>
        </is>
      </c>
      <c r="B7" s="0">
        <f>IFERROR(AVERAGE(Datos_Portal!C19:C28),"")</f>
      </c>
      <c r="C7" s="0">
        <f>INDEX(Datos_Portal!C19:C28,COUNT(Datos_Portal!C19:C28))</f>
      </c>
      <c r="D7" s="0">
        <f>INDEX(Datos_Portal!C19:C28,COUNT(Datos_Portal!C19:C28)-1)</f>
      </c>
      <c r="E7" s="0">
        <f>IFERROR(C7-D7,"")</f>
      </c>
      <c r="F7" s="0">
        <f>IF(N(E7)&gt;0,"▲ sube",IF(N(E7)&lt;0,"▼ baja","= igual"))</f>
      </c>
    </row>
    <row r="8">
      <c r="A8" s="0" t="inlineStr">
        <is>
          <t xml:space="preserve">Notas ≥70 (portada fuerte)</t>
        </is>
      </c>
      <c r="B8" s="0">
        <f>SUM(Datos_Portal!D19:D28)</f>
      </c>
      <c r="C8" s="0">
        <f>INDEX(Datos_Portal!D19:D28,COUNT(Datos_Portal!D19:D28))</f>
      </c>
      <c r="D8" s="0">
        <f>INDEX(Datos_Portal!D19:D28,COUNT(Datos_Portal!D19:D28)-1)</f>
      </c>
      <c r="E8" s="0">
        <f>IFERROR(C8-D8,"")</f>
      </c>
      <c r="F8" s="0">
        <f>IF(N(E8)&gt;0,"▲ sube",IF(N(E8)&lt;0,"▼ baja","= igual"))</f>
      </c>
    </row>
    <row r="9">
      <c r="A9" s="0" t="inlineStr">
        <is>
          <t xml:space="preserve">Lecturas propias</t>
        </is>
      </c>
      <c r="B9" s="0">
        <f>SUM(Datos_Portal!B43:B44)</f>
      </c>
      <c r="C9" s="0">
        <f>INDEX(Datos_Portal!B43:B44,COUNT(Datos_Portal!B43:B44))</f>
      </c>
      <c r="D9" s="0">
        <f>INDEX(Datos_Portal!B43:B44,COUNT(Datos_Portal!B43:B44)-1)</f>
      </c>
      <c r="E9" s="0">
        <f>IFERROR(C9-D9,"")</f>
      </c>
      <c r="F9" s="0">
        <f>IF(N(E9)&gt;0,"▲ sube",IF(N(E9)&lt;0,"▼ baja","= igual"))</f>
      </c>
    </row>
    <row r="10">
      <c r="A10" s="0" t="inlineStr">
        <is>
          <t xml:space="preserve">Lectores únicos</t>
        </is>
      </c>
      <c r="B10" s="0">
        <f>SUM(Datos_Portal!C43:C44)</f>
      </c>
      <c r="C10" s="0">
        <f>INDEX(Datos_Portal!C43:C44,COUNT(Datos_Portal!C43:C44))</f>
      </c>
      <c r="D10" s="0">
        <f>INDEX(Datos_Portal!C43:C44,COUNT(Datos_Portal!C43:C44)-1)</f>
      </c>
      <c r="E10" s="0">
        <f>IFERROR(C10-D10,"")</f>
      </c>
      <c r="F10" s="0">
        <f>IF(N(E10)&gt;0,"▲ sube",IF(N(E10)&lt;0,"▼ baja","= igual"))</f>
      </c>
    </row>
    <row r="12">
      <c r="A12" s="6" t="inlineStr">
        <is>
          <t xml:space="preserve">RECURRENCIA Y RECIRCULACIÓN — las dos métricas ancla del área</t>
        </is>
      </c>
    </row>
    <row r="13">
      <c r="A13" s="2" t="inlineStr">
        <is>
          <t xml:space="preserve">Métrica</t>
        </is>
      </c>
      <c r="B13" s="2" t="inlineStr">
        <is>
          <t xml:space="preserve">Valor</t>
        </is>
      </c>
      <c r="C13" s="2" t="inlineStr">
        <is>
          <t xml:space="preserve">Lectura</t>
        </is>
      </c>
    </row>
    <row r="14">
      <c r="A14" s="0" t="inlineStr">
        <is>
          <t xml:space="preserve">Lecturas por lector</t>
        </is>
      </c>
      <c r="B14" s="0">
        <f>IFERROR(SUM(Datos_Portal!B43:B44)/SUM(Datos_Portal!C43:C44),"")</f>
      </c>
      <c r="C14" s="0" t="inlineStr">
        <is>
          <t xml:space="preserve">Proxy de recirculación. 1.00 = nadie lee una segunda nota.</t>
        </is>
      </c>
    </row>
    <row r="15">
      <c r="A15" s="0" t="inlineStr">
        <is>
          <t xml:space="preserve">% de lectores recurrentes</t>
        </is>
      </c>
      <c r="B15" s="7">
        <f>IFERROR(Datos_Portal!B48/Datos_Portal!A48,"")</f>
      </c>
      <c r="C15" s="0" t="inlineStr">
        <is>
          <t xml:space="preserve">Lectores con más de una lectura registrada.</t>
        </is>
      </c>
    </row>
    <row r="16">
      <c r="A16" s="5" t="inlineStr">
        <is>
          <t xml:space="preserve">Ambas salen de article_reads, no de GA4: son dato de primera parte y no dependen de consentimiento de cookies de terceros.</t>
        </is>
      </c>
    </row>
    <row r="18">
      <c r="A18" s="6" t="inlineStr">
        <is>
          <t xml:space="preserve">LO QUE FALTA INSTRUMENTAR</t>
        </is>
      </c>
    </row>
    <row r="19">
      <c r="A19" s="2" t="inlineStr">
        <is>
          <t xml:space="preserve">Métrica</t>
        </is>
      </c>
      <c r="B19" s="2" t="inlineStr">
        <is>
          <t xml:space="preserve">Estado</t>
        </is>
      </c>
      <c r="C19" s="2" t="inlineStr">
        <is>
          <t xml:space="preserve">Qué falta</t>
        </is>
      </c>
    </row>
    <row r="20">
      <c r="A20" s="0" t="inlineStr">
        <is>
          <t xml:space="preserve">Usuarios, sesiones, vistas</t>
        </is>
      </c>
      <c r="B20" s="0" t="inlineStr">
        <is>
          <t xml:space="preserve">PENDIENTE DE INSTRUMENTACIÓN</t>
        </is>
      </c>
      <c r="C20" s="0" t="inlineStr">
        <is>
          <t xml:space="preserve">Pegar el export de GA4 en Datos_GA4 (ver Instrucciones).</t>
        </is>
      </c>
    </row>
    <row r="21">
      <c r="A21" s="0" t="inlineStr">
        <is>
          <t xml:space="preserve">Canales de adquisición</t>
        </is>
      </c>
      <c r="B21" s="0" t="inlineStr">
        <is>
          <t xml:space="preserve">PENDIENTE DE INSTRUMENTACIÓN</t>
        </is>
      </c>
      <c r="C21" s="0" t="inlineStr">
        <is>
          <t xml:space="preserve">Pegar el export de GA4 en Datos_GA4.</t>
        </is>
      </c>
    </row>
    <row r="22">
      <c r="A22" s="0" t="inlineStr">
        <is>
          <t xml:space="preserve">Mobile vs desktop</t>
        </is>
      </c>
      <c r="B22" s="0" t="inlineStr">
        <is>
          <t xml:space="preserve">PENDIENTE DE INSTRUMENTACIÓN</t>
        </is>
      </c>
      <c r="C22" s="0" t="inlineStr">
        <is>
          <t xml:space="preserve">Pegar el export de GA4 en Datos_GA4.</t>
        </is>
      </c>
    </row>
    <row r="23">
      <c r="A23" s="0" t="inlineStr">
        <is>
          <t xml:space="preserve">Conversión website → newsletter</t>
        </is>
      </c>
      <c r="B23" s="0" t="inlineStr">
        <is>
          <t xml:space="preserve">PENDIENTE DE INSTRUMENTACIÓN</t>
        </is>
      </c>
      <c r="C23" s="0" t="inlineStr">
        <is>
          <t xml:space="preserve">No existe evento de suscripción en GA4 ni tabla de suscriptores en el portal: los suscriptores viven en Substack. Hay que (a) disparar un evento GA4 en el alta y (b) exportar el total de Substack cada mes.</t>
        </is>
      </c>
    </row>
    <row r="24">
      <c r="A24" s="0" t="inlineStr">
        <is>
          <t xml:space="preserve">Tiempo de lectura real</t>
        </is>
      </c>
      <c r="B24" s="0" t="inlineStr">
        <is>
          <t xml:space="preserve">PENDIENTE DE INSTRUMENTACIÓN</t>
        </is>
      </c>
      <c r="C24" s="0" t="inlineStr">
        <is>
          <t xml:space="preserve">El portal guarda reading_time ESTIMADO, no medido. El medido sale de GA4.</t>
        </is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14" customWidth="1"/>
    <col min="2" max="2" width="18" customWidth="1"/>
    <col min="3" max="3" width="14" customWidth="1"/>
    <col min="4" max="4" width="14" customWidth="1"/>
    <col min="5" max="5" width="18" customWidth="1"/>
    <col min="6" max="6" width="16" customWidth="1"/>
  </cols>
  <sheetData>
    <row r="1">
      <c r="A1" s="1" t="inlineStr">
        <is>
          <t xml:space="preserve">Tráfico</t>
        </is>
      </c>
    </row>
    <row r="2">
      <c r="A2" s="5" t="inlineStr">
        <is>
          <t xml:space="preserve">Todo aquí se alimenta de Datos_GA4. Mientras esa hoja esté vacía las fórmulas devuelven 0 — eso es correcto, no un error: significa que todavía nadie ha pegado el export.</t>
        </is>
      </c>
    </row>
    <row r="4">
      <c r="A4" s="2" t="inlineStr">
        <is>
          <t xml:space="preserve">Mes</t>
        </is>
      </c>
      <c r="B4" s="2" t="inlineStr">
        <is>
          <t xml:space="preserve">Usuarios activos</t>
        </is>
      </c>
      <c r="C4" s="2" t="inlineStr">
        <is>
          <t xml:space="preserve">Sesiones</t>
        </is>
      </c>
      <c r="D4" s="2" t="inlineStr">
        <is>
          <t xml:space="preserve">Vistas</t>
        </is>
      </c>
      <c r="E4" s="2" t="inlineStr">
        <is>
          <t xml:space="preserve">Sesiones por usuario</t>
        </is>
      </c>
      <c r="F4" s="2" t="inlineStr">
        <is>
          <t xml:space="preserve">Vistas por sesión</t>
        </is>
      </c>
    </row>
    <row r="5">
      <c r="A5" s="0">
        <f>IFERROR(INDEX(GA4_Resumen_Mes,1),"")</f>
      </c>
      <c r="B5" s="0">
        <f>IFERROR(INDEX(GA4_Resumen_Usuarios,1),0)</f>
      </c>
      <c r="C5" s="0">
        <f>IFERROR(INDEX(GA4_Resumen_Sesiones,1),0)</f>
      </c>
      <c r="D5" s="0">
        <f>IFERROR(INDEX(GA4_Resumen_Vistas,1),0)</f>
      </c>
      <c r="E5" s="0">
        <f>IFERROR(C5/B5,"")</f>
      </c>
      <c r="F5" s="0">
        <f>IFERROR(D5/C5,"")</f>
      </c>
    </row>
    <row r="6">
      <c r="A6" s="0">
        <f>IFERROR(INDEX(GA4_Resumen_Mes,2),"")</f>
      </c>
      <c r="B6" s="0">
        <f>IFERROR(INDEX(GA4_Resumen_Usuarios,2),0)</f>
      </c>
      <c r="C6" s="0">
        <f>IFERROR(INDEX(GA4_Resumen_Sesiones,2),0)</f>
      </c>
      <c r="D6" s="0">
        <f>IFERROR(INDEX(GA4_Resumen_Vistas,2),0)</f>
      </c>
      <c r="E6" s="0">
        <f>IFERROR(C6/B6,"")</f>
      </c>
      <c r="F6" s="0">
        <f>IFERROR(D6/C6,"")</f>
      </c>
    </row>
    <row r="7">
      <c r="A7" s="0">
        <f>IFERROR(INDEX(GA4_Resumen_Mes,3),"")</f>
      </c>
      <c r="B7" s="0">
        <f>IFERROR(INDEX(GA4_Resumen_Usuarios,3),0)</f>
      </c>
      <c r="C7" s="0">
        <f>IFERROR(INDEX(GA4_Resumen_Sesiones,3),0)</f>
      </c>
      <c r="D7" s="0">
        <f>IFERROR(INDEX(GA4_Resumen_Vistas,3),0)</f>
      </c>
      <c r="E7" s="0">
        <f>IFERROR(C7/B7,"")</f>
      </c>
      <c r="F7" s="0">
        <f>IFERROR(D7/C7,"")</f>
      </c>
    </row>
    <row r="8">
      <c r="A8" s="0">
        <f>IFERROR(INDEX(GA4_Resumen_Mes,4),"")</f>
      </c>
      <c r="B8" s="0">
        <f>IFERROR(INDEX(GA4_Resumen_Usuarios,4),0)</f>
      </c>
      <c r="C8" s="0">
        <f>IFERROR(INDEX(GA4_Resumen_Sesiones,4),0)</f>
      </c>
      <c r="D8" s="0">
        <f>IFERROR(INDEX(GA4_Resumen_Vistas,4),0)</f>
      </c>
      <c r="E8" s="0">
        <f>IFERROR(C8/B8,"")</f>
      </c>
      <c r="F8" s="0">
        <f>IFERROR(D8/C8,"")</f>
      </c>
    </row>
    <row r="9">
      <c r="A9" s="0">
        <f>IFERROR(INDEX(GA4_Resumen_Mes,5),"")</f>
      </c>
      <c r="B9" s="0">
        <f>IFERROR(INDEX(GA4_Resumen_Usuarios,5),0)</f>
      </c>
      <c r="C9" s="0">
        <f>IFERROR(INDEX(GA4_Resumen_Sesiones,5),0)</f>
      </c>
      <c r="D9" s="0">
        <f>IFERROR(INDEX(GA4_Resumen_Vistas,5),0)</f>
      </c>
      <c r="E9" s="0">
        <f>IFERROR(C9/B9,"")</f>
      </c>
      <c r="F9" s="0">
        <f>IFERROR(D9/C9,"")</f>
      </c>
    </row>
    <row r="10">
      <c r="A10" s="0">
        <f>IFERROR(INDEX(GA4_Resumen_Mes,6),"")</f>
      </c>
      <c r="B10" s="0">
        <f>IFERROR(INDEX(GA4_Resumen_Usuarios,6),0)</f>
      </c>
      <c r="C10" s="0">
        <f>IFERROR(INDEX(GA4_Resumen_Sesiones,6),0)</f>
      </c>
      <c r="D10" s="0">
        <f>IFERROR(INDEX(GA4_Resumen_Vistas,6),0)</f>
      </c>
      <c r="E10" s="0">
        <f>IFERROR(C10/B10,"")</f>
      </c>
      <c r="F10" s="0">
        <f>IFERROR(D10/C10,"")</f>
      </c>
    </row>
    <row r="11">
      <c r="A11" s="0">
        <f>IFERROR(INDEX(GA4_Resumen_Mes,7),"")</f>
      </c>
      <c r="B11" s="0">
        <f>IFERROR(INDEX(GA4_Resumen_Usuarios,7),0)</f>
      </c>
      <c r="C11" s="0">
        <f>IFERROR(INDEX(GA4_Resumen_Sesiones,7),0)</f>
      </c>
      <c r="D11" s="0">
        <f>IFERROR(INDEX(GA4_Resumen_Vistas,7),0)</f>
      </c>
      <c r="E11" s="0">
        <f>IFERROR(C11/B11,"")</f>
      </c>
      <c r="F11" s="0">
        <f>IFERROR(D11/C11,"")</f>
      </c>
    </row>
    <row r="12">
      <c r="A12" s="0">
        <f>IFERROR(INDEX(GA4_Resumen_Mes,8),"")</f>
      </c>
      <c r="B12" s="0">
        <f>IFERROR(INDEX(GA4_Resumen_Usuarios,8),0)</f>
      </c>
      <c r="C12" s="0">
        <f>IFERROR(INDEX(GA4_Resumen_Sesiones,8),0)</f>
      </c>
      <c r="D12" s="0">
        <f>IFERROR(INDEX(GA4_Resumen_Vistas,8),0)</f>
      </c>
      <c r="E12" s="0">
        <f>IFERROR(C12/B12,"")</f>
      </c>
      <c r="F12" s="0">
        <f>IFERROR(D12/C12,"")</f>
      </c>
    </row>
    <row r="13">
      <c r="A13" s="0">
        <f>IFERROR(INDEX(GA4_Resumen_Mes,9),"")</f>
      </c>
      <c r="B13" s="0">
        <f>IFERROR(INDEX(GA4_Resumen_Usuarios,9),0)</f>
      </c>
      <c r="C13" s="0">
        <f>IFERROR(INDEX(GA4_Resumen_Sesiones,9),0)</f>
      </c>
      <c r="D13" s="0">
        <f>IFERROR(INDEX(GA4_Resumen_Vistas,9),0)</f>
      </c>
      <c r="E13" s="0">
        <f>IFERROR(C13/B13,"")</f>
      </c>
      <c r="F13" s="0">
        <f>IFERROR(D13/C13,"")</f>
      </c>
    </row>
    <row r="14">
      <c r="A14" s="0">
        <f>IFERROR(INDEX(GA4_Resumen_Mes,10),"")</f>
      </c>
      <c r="B14" s="0">
        <f>IFERROR(INDEX(GA4_Resumen_Usuarios,10),0)</f>
      </c>
      <c r="C14" s="0">
        <f>IFERROR(INDEX(GA4_Resumen_Sesiones,10),0)</f>
      </c>
      <c r="D14" s="0">
        <f>IFERROR(INDEX(GA4_Resumen_Vistas,10),0)</f>
      </c>
      <c r="E14" s="0">
        <f>IFERROR(C14/B14,"")</f>
      </c>
      <c r="F14" s="0">
        <f>IFERROR(D14/C14,"")</f>
      </c>
    </row>
    <row r="15">
      <c r="A15" s="0">
        <f>IFERROR(INDEX(GA4_Resumen_Mes,11),"")</f>
      </c>
      <c r="B15" s="0">
        <f>IFERROR(INDEX(GA4_Resumen_Usuarios,11),0)</f>
      </c>
      <c r="C15" s="0">
        <f>IFERROR(INDEX(GA4_Resumen_Sesiones,11),0)</f>
      </c>
      <c r="D15" s="0">
        <f>IFERROR(INDEX(GA4_Resumen_Vistas,11),0)</f>
      </c>
      <c r="E15" s="0">
        <f>IFERROR(C15/B15,"")</f>
      </c>
      <c r="F15" s="0">
        <f>IFERROR(D15/C15,"")</f>
      </c>
    </row>
    <row r="16">
      <c r="A16" s="0">
        <f>IFERROR(INDEX(GA4_Resumen_Mes,12),"")</f>
      </c>
      <c r="B16" s="0">
        <f>IFERROR(INDEX(GA4_Resumen_Usuarios,12),0)</f>
      </c>
      <c r="C16" s="0">
        <f>IFERROR(INDEX(GA4_Resumen_Sesiones,12),0)</f>
      </c>
      <c r="D16" s="0">
        <f>IFERROR(INDEX(GA4_Resumen_Vistas,12),0)</f>
      </c>
      <c r="E16" s="0">
        <f>IFERROR(C16/B16,"")</f>
      </c>
      <c r="F16" s="0">
        <f>IFERROR(D16/C16,"")</f>
      </c>
    </row>
    <row r="18">
      <c r="A18" s="5" t="inlineStr">
        <is>
          <t xml:space="preserve">Fila de referencia — cómo se ve una fila con datos:</t>
        </is>
      </c>
    </row>
    <row r="19">
      <c r="A19" s="4" t="inlineStr">
        <is>
          <t xml:space="preserve">EJEMPLO</t>
        </is>
      </c>
      <c r="B19" s="4" t="inlineStr">
        <is>
          <t xml:space="preserve">EJEMPLO 12,000</t>
        </is>
      </c>
      <c r="C19" s="4" t="inlineStr">
        <is>
          <t xml:space="preserve">EJEMPLO 15,000</t>
        </is>
      </c>
      <c r="D19" s="4" t="inlineStr">
        <is>
          <t xml:space="preserve">EJEMPLO 22,000</t>
        </is>
      </c>
      <c r="E19" s="4" t="inlineStr">
        <is>
          <t xml:space="preserve">1.25</t>
        </is>
      </c>
      <c r="F19" s="4" t="inlineStr">
        <is>
          <t xml:space="preserve">1.47</t>
        </is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14" customWidth="1"/>
    <col min="2" max="2" width="10" customWidth="1"/>
    <col min="3" max="3" width="16" customWidth="1"/>
    <col min="4" max="4" width="12" customWidth="1"/>
    <col min="5" max="5" width="10" customWidth="1"/>
    <col min="6" max="6" width="18" customWidth="1"/>
  </cols>
  <sheetData>
    <row r="1">
      <c r="A1" s="1" t="inlineStr">
        <is>
          <t xml:space="preserve">Contenido</t>
        </is>
      </c>
    </row>
    <row r="2">
      <c r="A2" s="5" t="inlineStr">
        <is>
          <t xml:space="preserve">Volumen, calidad y cadencia editorial. Dato propio: real desde hoy.</t>
        </is>
      </c>
    </row>
    <row r="4">
      <c r="A4" s="2" t="inlineStr">
        <is>
          <t xml:space="preserve">Mes</t>
        </is>
      </c>
      <c r="B4" s="2" t="inlineStr">
        <is>
          <t xml:space="preserve">Notas</t>
        </is>
      </c>
      <c r="C4" s="2" t="inlineStr">
        <is>
          <t xml:space="preserve">Score promedio</t>
        </is>
      </c>
      <c r="D4" s="2" t="inlineStr">
        <is>
          <t xml:space="preserve">Notas ≥70</t>
        </is>
      </c>
      <c r="E4" s="2" t="inlineStr">
        <is>
          <t xml:space="preserve">% ≥70</t>
        </is>
      </c>
      <c r="F4" s="2" t="inlineStr">
        <is>
          <t xml:space="preserve">Notas por día activo</t>
        </is>
      </c>
    </row>
    <row r="5">
      <c r="A5" s="0">
        <f>Datos_Portal!A19</f>
      </c>
      <c r="B5" s="0">
        <f>Datos_Portal!B19</f>
      </c>
      <c r="C5" s="0">
        <f>Datos_Portal!C19</f>
      </c>
      <c r="D5" s="0">
        <f>Datos_Portal!D19</f>
      </c>
      <c r="E5" s="7">
        <f>IFERROR(D5/B5,0)</f>
      </c>
      <c r="F5" s="0">
        <f>Datos_Portal!G19</f>
      </c>
    </row>
    <row r="6">
      <c r="A6" s="0">
        <f>Datos_Portal!A20</f>
      </c>
      <c r="B6" s="0">
        <f>Datos_Portal!B20</f>
      </c>
      <c r="C6" s="0">
        <f>Datos_Portal!C20</f>
      </c>
      <c r="D6" s="0">
        <f>Datos_Portal!D20</f>
      </c>
      <c r="E6" s="7">
        <f>IFERROR(D6/B6,0)</f>
      </c>
      <c r="F6" s="0">
        <f>Datos_Portal!G20</f>
      </c>
    </row>
    <row r="7">
      <c r="A7" s="0">
        <f>Datos_Portal!A21</f>
      </c>
      <c r="B7" s="0">
        <f>Datos_Portal!B21</f>
      </c>
      <c r="C7" s="0">
        <f>Datos_Portal!C21</f>
      </c>
      <c r="D7" s="0">
        <f>Datos_Portal!D21</f>
      </c>
      <c r="E7" s="7">
        <f>IFERROR(D7/B7,0)</f>
      </c>
      <c r="F7" s="0">
        <f>Datos_Portal!G21</f>
      </c>
    </row>
    <row r="8">
      <c r="A8" s="0">
        <f>Datos_Portal!A22</f>
      </c>
      <c r="B8" s="0">
        <f>Datos_Portal!B22</f>
      </c>
      <c r="C8" s="0">
        <f>Datos_Portal!C22</f>
      </c>
      <c r="D8" s="0">
        <f>Datos_Portal!D22</f>
      </c>
      <c r="E8" s="7">
        <f>IFERROR(D8/B8,0)</f>
      </c>
      <c r="F8" s="0">
        <f>Datos_Portal!G22</f>
      </c>
    </row>
    <row r="9">
      <c r="A9" s="0">
        <f>Datos_Portal!A23</f>
      </c>
      <c r="B9" s="0">
        <f>Datos_Portal!B23</f>
      </c>
      <c r="C9" s="0">
        <f>Datos_Portal!C23</f>
      </c>
      <c r="D9" s="0">
        <f>Datos_Portal!D23</f>
      </c>
      <c r="E9" s="7">
        <f>IFERROR(D9/B9,0)</f>
      </c>
      <c r="F9" s="0">
        <f>Datos_Portal!G23</f>
      </c>
    </row>
    <row r="10">
      <c r="A10" s="0">
        <f>Datos_Portal!A24</f>
      </c>
      <c r="B10" s="0">
        <f>Datos_Portal!B24</f>
      </c>
      <c r="C10" s="0">
        <f>Datos_Portal!C24</f>
      </c>
      <c r="D10" s="0">
        <f>Datos_Portal!D24</f>
      </c>
      <c r="E10" s="7">
        <f>IFERROR(D10/B10,0)</f>
      </c>
      <c r="F10" s="0">
        <f>Datos_Portal!G24</f>
      </c>
    </row>
    <row r="11">
      <c r="A11" s="0">
        <f>Datos_Portal!A25</f>
      </c>
      <c r="B11" s="0">
        <f>Datos_Portal!B25</f>
      </c>
      <c r="C11" s="0">
        <f>Datos_Portal!C25</f>
      </c>
      <c r="D11" s="0">
        <f>Datos_Portal!D25</f>
      </c>
      <c r="E11" s="7">
        <f>IFERROR(D11/B11,0)</f>
      </c>
      <c r="F11" s="0">
        <f>Datos_Portal!G25</f>
      </c>
    </row>
    <row r="12">
      <c r="A12" s="0">
        <f>Datos_Portal!A26</f>
      </c>
      <c r="B12" s="0">
        <f>Datos_Portal!B26</f>
      </c>
      <c r="C12" s="0">
        <f>Datos_Portal!C26</f>
      </c>
      <c r="D12" s="0">
        <f>Datos_Portal!D26</f>
      </c>
      <c r="E12" s="7">
        <f>IFERROR(D12/B12,0)</f>
      </c>
      <c r="F12" s="0">
        <f>Datos_Portal!G26</f>
      </c>
    </row>
    <row r="13">
      <c r="A13" s="0">
        <f>Datos_Portal!A27</f>
      </c>
      <c r="B13" s="0">
        <f>Datos_Portal!B27</f>
      </c>
      <c r="C13" s="0">
        <f>Datos_Portal!C27</f>
      </c>
      <c r="D13" s="0">
        <f>Datos_Portal!D27</f>
      </c>
      <c r="E13" s="7">
        <f>IFERROR(D13/B13,0)</f>
      </c>
      <c r="F13" s="0">
        <f>Datos_Portal!G27</f>
      </c>
    </row>
    <row r="14">
      <c r="A14" s="0">
        <f>Datos_Portal!A28</f>
      </c>
      <c r="B14" s="0">
        <f>Datos_Portal!B28</f>
      </c>
      <c r="C14" s="0">
        <f>Datos_Portal!C28</f>
      </c>
      <c r="D14" s="0">
        <f>Datos_Portal!D28</f>
      </c>
      <c r="E14" s="7">
        <f>IFERROR(D14/B14,0)</f>
      </c>
      <c r="F14" s="0">
        <f>Datos_Portal!G28</f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16" customWidth="1"/>
    <col min="2" max="2" width="14" customWidth="1"/>
    <col min="3" max="3" width="16" customWidth="1"/>
    <col min="4" max="4" width="18" customWidth="1"/>
  </cols>
  <sheetData>
    <row r="1">
      <c r="A1" s="1" t="inlineStr">
        <is>
          <t xml:space="preserve">Audiencia</t>
        </is>
      </c>
    </row>
    <row r="2">
      <c r="A2" s="5" t="inlineStr">
        <is>
          <t xml:space="preserve">Lectores propios y recurrencia. Sale de article_reads, no de GA4.</t>
        </is>
      </c>
    </row>
    <row r="4">
      <c r="A4" s="2" t="inlineStr">
        <is>
          <t xml:space="preserve">Mes</t>
        </is>
      </c>
      <c r="B4" s="2" t="inlineStr">
        <is>
          <t xml:space="preserve">Lecturas</t>
        </is>
      </c>
      <c r="C4" s="2" t="inlineStr">
        <is>
          <t xml:space="preserve">Lectores únicos</t>
        </is>
      </c>
      <c r="D4" s="2" t="inlineStr">
        <is>
          <t xml:space="preserve">Lecturas por lector</t>
        </is>
      </c>
    </row>
    <row r="5">
      <c r="A5" s="0">
        <f>Datos_Portal!A43</f>
      </c>
      <c r="B5" s="0">
        <f>Datos_Portal!B43</f>
      </c>
      <c r="C5" s="0">
        <f>Datos_Portal!C43</f>
      </c>
      <c r="D5" s="0">
        <f>IFERROR(B5/C5,"")</f>
      </c>
    </row>
    <row r="6">
      <c r="A6" s="0">
        <f>Datos_Portal!A44</f>
      </c>
      <c r="B6" s="0">
        <f>Datos_Portal!B44</f>
      </c>
      <c r="C6" s="0">
        <f>Datos_Portal!C44</f>
      </c>
      <c r="D6" s="0">
        <f>IFERROR(B6/C6,"")</f>
      </c>
    </row>
    <row r="8">
      <c r="A8" s="6" t="inlineStr">
        <is>
          <t xml:space="preserve">MOBILE VS DESKTOP — pendiente de GA4</t>
        </is>
      </c>
    </row>
    <row r="9">
      <c r="A9" s="2" t="inlineStr">
        <is>
          <t xml:space="preserve">Dispositivo</t>
        </is>
      </c>
      <c r="B9" s="2" t="inlineStr">
        <is>
          <t xml:space="preserve">Usuarios</t>
        </is>
      </c>
      <c r="C9" s="2" t="inlineStr">
        <is>
          <t xml:space="preserve">% del total</t>
        </is>
      </c>
    </row>
    <row r="10">
      <c r="A10" s="0">
        <f>IFERROR(INDEX(GA4_Disp_Categoria,1),"")</f>
      </c>
      <c r="B10" s="0">
        <f>IFERROR(INDEX(GA4_Disp_Usuarios,1),0)</f>
      </c>
      <c r="C10" s="7">
        <f>IFERROR(B10/SUM($B$10:$B$13),0)</f>
      </c>
    </row>
    <row r="11">
      <c r="A11" s="0">
        <f>IFERROR(INDEX(GA4_Disp_Categoria,2),"")</f>
      </c>
      <c r="B11" s="0">
        <f>IFERROR(INDEX(GA4_Disp_Usuarios,2),0)</f>
      </c>
      <c r="C11" s="7">
        <f>IFERROR(B11/SUM($B$10:$B$13),0)</f>
      </c>
    </row>
    <row r="12">
      <c r="A12" s="0">
        <f>IFERROR(INDEX(GA4_Disp_Categoria,3),"")</f>
      </c>
      <c r="B12" s="0">
        <f>IFERROR(INDEX(GA4_Disp_Usuarios,3),0)</f>
      </c>
      <c r="C12" s="7">
        <f>IFERROR(B12/SUM($B$10:$B$13),0)</f>
      </c>
    </row>
    <row r="13">
      <c r="A13" s="0">
        <f>IFERROR(INDEX(GA4_Disp_Categoria,4),"")</f>
      </c>
      <c r="B13" s="0">
        <f>IFERROR(INDEX(GA4_Disp_Usuarios,4),0)</f>
      </c>
      <c r="C13" s="7">
        <f>IFERROR(B13/SUM($B$10:$B$13),0)</f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14" customWidth="1"/>
    <col min="2" max="2" width="22" customWidth="1"/>
    <col min="3" max="3" width="14" customWidth="1"/>
    <col min="4" max="4" width="18" customWidth="1"/>
    <col min="5" max="5" width="22" customWidth="1"/>
  </cols>
  <sheetData>
    <row r="1">
      <c r="A1" s="1" t="inlineStr">
        <is>
          <t xml:space="preserve">Newsletter</t>
        </is>
      </c>
    </row>
    <row r="2">
      <c r="A2" s="5" t="inlineStr">
        <is>
          <t xml:space="preserve">PENDIENTE DE INSTRUMENTACIÓN. Los suscriptores viven en Substack, no en el portal: la base tiene 11 cuentas registradas y ninguna tabla de suscripción. Esta hoja queda lista para el día que existan las dos fuentes.</t>
        </is>
      </c>
    </row>
    <row r="4">
      <c r="A4" s="2" t="inlineStr">
        <is>
          <t xml:space="preserve">Mes</t>
        </is>
      </c>
      <c r="B4" s="2" t="inlineStr">
        <is>
          <t xml:space="preserve">Suscriptores (Substack)</t>
        </is>
      </c>
      <c r="C4" s="2" t="inlineStr">
        <is>
          <t xml:space="preserve">Altas del mes</t>
        </is>
      </c>
      <c r="D4" s="2" t="inlineStr">
        <is>
          <t xml:space="preserve">Sesiones web (GA4)</t>
        </is>
      </c>
      <c r="E4" s="2" t="inlineStr">
        <is>
          <t xml:space="preserve">Conversión web → newsletter</t>
        </is>
      </c>
    </row>
    <row r="5">
      <c r="A5" s="0">
        <f>IFERROR(INDEX(GA4_Resumen_Mes,1),"")</f>
      </c>
      <c r="D5" s="0">
        <f>IFERROR(INDEX(GA4_Resumen_Sesiones,1),0)</f>
      </c>
      <c r="E5" s="7">
        <f>IFERROR(C5/D5,"")</f>
      </c>
    </row>
    <row r="6">
      <c r="A6" s="0">
        <f>IFERROR(INDEX(GA4_Resumen_Mes,2),"")</f>
      </c>
      <c r="D6" s="0">
        <f>IFERROR(INDEX(GA4_Resumen_Sesiones,2),0)</f>
      </c>
      <c r="E6" s="7">
        <f>IFERROR(C6/D6,"")</f>
      </c>
    </row>
    <row r="7">
      <c r="A7" s="0">
        <f>IFERROR(INDEX(GA4_Resumen_Mes,3),"")</f>
      </c>
      <c r="D7" s="0">
        <f>IFERROR(INDEX(GA4_Resumen_Sesiones,3),0)</f>
      </c>
      <c r="E7" s="7">
        <f>IFERROR(C7/D7,"")</f>
      </c>
    </row>
    <row r="8">
      <c r="A8" s="0">
        <f>IFERROR(INDEX(GA4_Resumen_Mes,4),"")</f>
      </c>
      <c r="D8" s="0">
        <f>IFERROR(INDEX(GA4_Resumen_Sesiones,4),0)</f>
      </c>
      <c r="E8" s="7">
        <f>IFERROR(C8/D8,"")</f>
      </c>
    </row>
    <row r="9">
      <c r="A9" s="0">
        <f>IFERROR(INDEX(GA4_Resumen_Mes,5),"")</f>
      </c>
      <c r="D9" s="0">
        <f>IFERROR(INDEX(GA4_Resumen_Sesiones,5),0)</f>
      </c>
      <c r="E9" s="7">
        <f>IFERROR(C9/D9,"")</f>
      </c>
    </row>
    <row r="10">
      <c r="A10" s="0">
        <f>IFERROR(INDEX(GA4_Resumen_Mes,6),"")</f>
      </c>
      <c r="D10" s="0">
        <f>IFERROR(INDEX(GA4_Resumen_Sesiones,6),0)</f>
      </c>
      <c r="E10" s="7">
        <f>IFERROR(C10/D10,"")</f>
      </c>
    </row>
    <row r="11">
      <c r="A11" s="0">
        <f>IFERROR(INDEX(GA4_Resumen_Mes,7),"")</f>
      </c>
      <c r="D11" s="0">
        <f>IFERROR(INDEX(GA4_Resumen_Sesiones,7),0)</f>
      </c>
      <c r="E11" s="7">
        <f>IFERROR(C11/D11,"")</f>
      </c>
    </row>
    <row r="12">
      <c r="A12" s="0">
        <f>IFERROR(INDEX(GA4_Resumen_Mes,8),"")</f>
      </c>
      <c r="D12" s="0">
        <f>IFERROR(INDEX(GA4_Resumen_Sesiones,8),0)</f>
      </c>
      <c r="E12" s="7">
        <f>IFERROR(C12/D12,"")</f>
      </c>
    </row>
    <row r="13">
      <c r="A13" s="0">
        <f>IFERROR(INDEX(GA4_Resumen_Mes,9),"")</f>
      </c>
      <c r="D13" s="0">
        <f>IFERROR(INDEX(GA4_Resumen_Sesiones,9),0)</f>
      </c>
      <c r="E13" s="7">
        <f>IFERROR(C13/D13,"")</f>
      </c>
    </row>
    <row r="14">
      <c r="A14" s="0">
        <f>IFERROR(INDEX(GA4_Resumen_Mes,10),"")</f>
      </c>
      <c r="D14" s="0">
        <f>IFERROR(INDEX(GA4_Resumen_Sesiones,10),0)</f>
      </c>
      <c r="E14" s="7">
        <f>IFERROR(C14/D14,"")</f>
      </c>
    </row>
    <row r="15">
      <c r="A15" s="0">
        <f>IFERROR(INDEX(GA4_Resumen_Mes,11),"")</f>
      </c>
      <c r="D15" s="0">
        <f>IFERROR(INDEX(GA4_Resumen_Sesiones,11),0)</f>
      </c>
      <c r="E15" s="7">
        <f>IFERROR(C15/D15,"")</f>
      </c>
    </row>
    <row r="16">
      <c r="A16" s="0">
        <f>IFERROR(INDEX(GA4_Resumen_Mes,12),"")</f>
      </c>
      <c r="D16" s="0">
        <f>IFERROR(INDEX(GA4_Resumen_Sesiones,12),0)</f>
      </c>
      <c r="E16" s="7">
        <f>IFERROR(C16/D16,"")</f>
      </c>
    </row>
    <row r="18">
      <c r="A18" s="5" t="inlineStr">
        <is>
          <t xml:space="preserve">Fila de referencia:</t>
        </is>
      </c>
    </row>
    <row r="19">
      <c r="A19" s="4" t="inlineStr">
        <is>
          <t xml:space="preserve">EJEMPLO 2026-08</t>
        </is>
      </c>
      <c r="B19" s="4" t="inlineStr">
        <is>
          <t xml:space="preserve">EJEMPLO 4,200</t>
        </is>
      </c>
      <c r="C19" s="4" t="inlineStr">
        <is>
          <t xml:space="preserve">EJEMPLO 180</t>
        </is>
      </c>
      <c r="D19" s="4" t="inlineStr">
        <is>
          <t xml:space="preserve">EJEMPLO 15,000</t>
        </is>
      </c>
      <c r="E19" s="4" t="inlineStr">
        <is>
          <t xml:space="preserve">1.2%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22" customWidth="1"/>
    <col min="2" max="2" width="22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</cols>
  <sheetData>
    <row r="1">
      <c r="A1" s="1" t="inlineStr">
        <is>
          <t xml:space="preserve">Datos_GA4 — hoja destino. Pegar aquí el export, sin reformatear.</t>
        </is>
      </c>
    </row>
    <row r="2">
      <c r="A2" s="5" t="inlineStr">
        <is>
          <t xml:space="preserve">VACÍA A PROPÓSITO. Esta máquina no tiene credenciales de GA4 (las cuatro claves GA4_* existen en .env.local y están en blanco), así que cualquier cifra aquí sería inventada. Los encabezados son los exactos del export de GA4 G-KVE4HF75TF. Ruta de clics por reporte: docs/metricas-website-runbook.md.</t>
        </is>
      </c>
    </row>
    <row r="4">
      <c r="A4" s="6" t="inlineStr">
        <is>
          <t xml:space="preserve">RESUMEN MENSUAL — Informes › Adquisición › Visión general (exportar CSV)</t>
        </is>
      </c>
    </row>
    <row r="5">
      <c r="A5" s="2" t="inlineStr">
        <is>
          <t xml:space="preserve">Mes</t>
        </is>
      </c>
      <c r="B5" s="2" t="inlineStr">
        <is>
          <t xml:space="preserve">Usuarios activos</t>
        </is>
      </c>
      <c r="C5" s="2" t="inlineStr">
        <is>
          <t xml:space="preserve">Usuarios nuevos</t>
        </is>
      </c>
      <c r="D5" s="2" t="inlineStr">
        <is>
          <t xml:space="preserve">Usuarios recurrentes</t>
        </is>
      </c>
      <c r="E5" s="2" t="inlineStr">
        <is>
          <t xml:space="preserve">Sesiones</t>
        </is>
      </c>
      <c r="F5" s="2" t="inlineStr">
        <is>
          <t xml:space="preserve">Vistas de página</t>
        </is>
      </c>
      <c r="G5" s="2" t="inlineStr">
        <is>
          <t xml:space="preserve">Duración media de sesión (s)</t>
        </is>
      </c>
      <c r="H5" s="2" t="inlineStr">
        <is>
          <t xml:space="preserve">Tasa de interacción</t>
        </is>
      </c>
    </row>
    <row r="43">
      <c r="A43" s="6" t="inlineStr">
        <is>
          <t xml:space="preserve">CANALES — Informes › Adquisición › Adquisición de tráfico</t>
        </is>
      </c>
    </row>
    <row r="44">
      <c r="A44" s="2" t="inlineStr">
        <is>
          <t xml:space="preserve">Mes</t>
        </is>
      </c>
      <c r="B44" s="2" t="inlineStr">
        <is>
          <t xml:space="preserve">Canal predeterminado</t>
        </is>
      </c>
      <c r="C44" s="2" t="inlineStr">
        <is>
          <t xml:space="preserve">Sesiones</t>
        </is>
      </c>
      <c r="D44" s="2" t="inlineStr">
        <is>
          <t xml:space="preserve">Usuarios activos</t>
        </is>
      </c>
      <c r="E44" s="2" t="inlineStr">
        <is>
          <t xml:space="preserve">Vistas de página</t>
        </is>
      </c>
      <c r="F44" s="2" t="inlineStr">
        <is>
          <t xml:space="preserve">Tasa de interacción</t>
        </is>
      </c>
    </row>
    <row r="82">
      <c r="A82" s="6" t="inlineStr">
        <is>
          <t xml:space="preserve">PÁGINAS — Informes › Interacción › Páginas y pantallas</t>
        </is>
      </c>
    </row>
    <row r="83">
      <c r="A83" s="2" t="inlineStr">
        <is>
          <t xml:space="preserve">Mes</t>
        </is>
      </c>
      <c r="B83" s="2" t="inlineStr">
        <is>
          <t xml:space="preserve">Ruta de página</t>
        </is>
      </c>
      <c r="C83" s="2" t="inlineStr">
        <is>
          <t xml:space="preserve">Vistas</t>
        </is>
      </c>
      <c r="D83" s="2" t="inlineStr">
        <is>
          <t xml:space="preserve">Usuarios activos</t>
        </is>
      </c>
      <c r="E83" s="2" t="inlineStr">
        <is>
          <t xml:space="preserve">Tiempo medio de interacción (s)</t>
        </is>
      </c>
    </row>
    <row r="121">
      <c r="A121" s="6" t="inlineStr">
        <is>
          <t xml:space="preserve">DISPOSITIVOS — Informes › Tecnología › Detalles de tecnología</t>
        </is>
      </c>
    </row>
    <row r="122">
      <c r="A122" s="2" t="inlineStr">
        <is>
          <t xml:space="preserve">Mes</t>
        </is>
      </c>
      <c r="B122" s="2" t="inlineStr">
        <is>
          <t xml:space="preserve">Categoría de dispositivo</t>
        </is>
      </c>
      <c r="C122" s="2" t="inlineStr">
        <is>
          <t xml:space="preserve">Usuarios activos</t>
        </is>
      </c>
      <c r="D122" s="2" t="inlineStr">
        <is>
          <t xml:space="preserve">Sesiones</t>
        </is>
      </c>
      <c r="E122" s="2" t="inlineStr">
        <is>
          <t xml:space="preserve">Tasa de interacción</t>
        </is>
      </c>
    </row>
    <row r="160">
      <c r="A160" s="6" t="inlineStr">
        <is>
          <t xml:space="preserve">NEWSLETTER — Explorar › Exploración libre, evento de suscripción</t>
        </is>
      </c>
    </row>
    <row r="161">
      <c r="A161" s="2" t="inlineStr">
        <is>
          <t xml:space="preserve">Mes</t>
        </is>
      </c>
      <c r="B161" s="2" t="inlineStr">
        <is>
          <t xml:space="preserve">Nombre de evento</t>
        </is>
      </c>
      <c r="C161" s="2" t="inlineStr">
        <is>
          <t xml:space="preserve">Recuento de eventos</t>
        </is>
      </c>
      <c r="D161" s="2" t="inlineStr">
        <is>
          <t xml:space="preserve">Usuarios activos</t>
        </is>
      </c>
      <c r="E161" s="2" t="inlineStr">
        <is>
          <t xml:space="preserve">Sesiones con el evento</t>
        </is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34" customWidth="1"/>
    <col min="2" max="2" width="16" customWidth="1"/>
    <col min="3" max="3" width="16" customWidth="1"/>
    <col min="4" max="4" width="14" customWidth="1"/>
    <col min="5" max="5" width="18" customWidth="1"/>
    <col min="6" max="6" width="18" customWidth="1"/>
    <col min="7" max="7" width="18" customWidth="1"/>
  </cols>
  <sheetData>
    <row r="1">
      <c r="A1" s="1" t="inlineStr">
        <is>
          <t xml:space="preserve">Datos_Portal — consultado en vivo desde la base del portal</t>
        </is>
      </c>
    </row>
    <row r="2">
      <c r="A2" s="5" t="inlineStr">
        <is>
          <t xml:space="preserve">Generado 2026-08-25. Todo en esta hoja es real. Para refrescar: POSTGRES_URL=… python3 scripts/build-metrics-dashboard.py</t>
        </is>
      </c>
    </row>
    <row r="4">
      <c r="A4" s="6" t="inlineStr">
        <is>
          <t xml:space="preserve">PUBLICACIÓN POR PRODUCTO Y MES</t>
        </is>
      </c>
    </row>
    <row r="5">
      <c r="A5" s="2" t="inlineStr">
        <is>
          <t xml:space="preserve">Mes</t>
        </is>
      </c>
      <c r="B5" s="2" t="inlineStr">
        <is>
          <t xml:space="preserve">futbol-business-review</t>
        </is>
      </c>
      <c r="C5" s="2" t="inlineStr">
        <is>
          <t xml:space="preserve">industry-shots</t>
        </is>
      </c>
      <c r="D5" s="2" t="inlineStr">
        <is>
          <t xml:space="preserve">infinitas</t>
        </is>
      </c>
      <c r="E5" s="2" t="inlineStr">
        <is>
          <t xml:space="preserve">la-lana</t>
        </is>
      </c>
      <c r="F5" s="2" t="inlineStr">
        <is>
          <t xml:space="preserve">noticias</t>
        </is>
      </c>
      <c r="G5" s="2" t="inlineStr">
        <is>
          <t xml:space="preserve">Total</t>
        </is>
      </c>
    </row>
    <row r="6">
      <c r="A6" s="0" t="inlineStr">
        <is>
          <t xml:space="preserve">2025-11</t>
        </is>
      </c>
      <c r="B6" s="0">
        <v>1</v>
      </c>
      <c r="C6" s="0">
        <v>0</v>
      </c>
      <c r="D6" s="0">
        <v>0</v>
      </c>
      <c r="E6" s="0">
        <v>0</v>
      </c>
      <c r="F6" s="0">
        <v>0</v>
      </c>
      <c r="G6" s="0">
        <f>SUM(B6:F6)</f>
      </c>
    </row>
    <row r="7">
      <c r="A7" s="0" t="inlineStr">
        <is>
          <t xml:space="preserve">2025-12</t>
        </is>
      </c>
      <c r="B7" s="0">
        <v>3</v>
      </c>
      <c r="C7" s="0">
        <v>0</v>
      </c>
      <c r="D7" s="0">
        <v>0</v>
      </c>
      <c r="E7" s="0">
        <v>0</v>
      </c>
      <c r="F7" s="0">
        <v>0</v>
      </c>
      <c r="G7" s="0">
        <f>SUM(B7:F7)</f>
      </c>
    </row>
    <row r="8">
      <c r="A8" s="0" t="inlineStr">
        <is>
          <t xml:space="preserve">2026-01</t>
        </is>
      </c>
      <c r="B8" s="0">
        <v>3</v>
      </c>
      <c r="C8" s="0">
        <v>0</v>
      </c>
      <c r="D8" s="0">
        <v>0</v>
      </c>
      <c r="E8" s="0">
        <v>0</v>
      </c>
      <c r="F8" s="0">
        <v>0</v>
      </c>
      <c r="G8" s="0">
        <f>SUM(B8:F8)</f>
      </c>
    </row>
    <row r="9">
      <c r="A9" s="0" t="inlineStr">
        <is>
          <t xml:space="preserve">2026-02</t>
        </is>
      </c>
      <c r="B9" s="0">
        <v>2</v>
      </c>
      <c r="C9" s="0">
        <v>0</v>
      </c>
      <c r="D9" s="0">
        <v>0</v>
      </c>
      <c r="E9" s="0">
        <v>0</v>
      </c>
      <c r="F9" s="0">
        <v>0</v>
      </c>
      <c r="G9" s="0">
        <f>SUM(B9:F9)</f>
      </c>
    </row>
    <row r="10">
      <c r="A10" s="0" t="inlineStr">
        <is>
          <t xml:space="preserve">2026-03</t>
        </is>
      </c>
      <c r="B10" s="0">
        <v>1</v>
      </c>
      <c r="C10" s="0">
        <v>0</v>
      </c>
      <c r="D10" s="0">
        <v>0</v>
      </c>
      <c r="E10" s="0">
        <v>0</v>
      </c>
      <c r="F10" s="0">
        <v>0</v>
      </c>
      <c r="G10" s="0">
        <f>SUM(B10:F10)</f>
      </c>
    </row>
    <row r="11">
      <c r="A11" s="0" t="inlineStr">
        <is>
          <t xml:space="preserve">2026-04</t>
        </is>
      </c>
      <c r="B11" s="0">
        <v>1</v>
      </c>
      <c r="C11" s="0">
        <v>0</v>
      </c>
      <c r="D11" s="0">
        <v>2</v>
      </c>
      <c r="E11" s="0">
        <v>0</v>
      </c>
      <c r="F11" s="0">
        <v>0</v>
      </c>
      <c r="G11" s="0">
        <f>SUM(B11:F11)</f>
      </c>
    </row>
    <row r="12">
      <c r="A12" s="0" t="inlineStr">
        <is>
          <t xml:space="preserve">2026-05</t>
        </is>
      </c>
      <c r="B12" s="0">
        <v>3</v>
      </c>
      <c r="C12" s="0">
        <v>0</v>
      </c>
      <c r="D12" s="0">
        <v>1</v>
      </c>
      <c r="E12" s="0">
        <v>0</v>
      </c>
      <c r="F12" s="0">
        <v>0</v>
      </c>
      <c r="G12" s="0">
        <f>SUM(B12:F12)</f>
      </c>
    </row>
    <row r="13">
      <c r="A13" s="0" t="inlineStr">
        <is>
          <t xml:space="preserve">2026-06</t>
        </is>
      </c>
      <c r="B13" s="0">
        <v>0</v>
      </c>
      <c r="C13" s="0">
        <v>3</v>
      </c>
      <c r="D13" s="0">
        <v>1</v>
      </c>
      <c r="E13" s="0">
        <v>1</v>
      </c>
      <c r="F13" s="0">
        <v>0</v>
      </c>
      <c r="G13" s="0">
        <f>SUM(B13:F13)</f>
      </c>
    </row>
    <row r="14">
      <c r="A14" s="0" t="inlineStr">
        <is>
          <t xml:space="preserve">2026-07</t>
        </is>
      </c>
      <c r="B14" s="0">
        <v>0</v>
      </c>
      <c r="C14" s="0">
        <v>53</v>
      </c>
      <c r="D14" s="0">
        <v>3</v>
      </c>
      <c r="E14" s="0">
        <v>4</v>
      </c>
      <c r="F14" s="0">
        <v>0</v>
      </c>
      <c r="G14" s="0">
        <f>SUM(B14:F14)</f>
      </c>
    </row>
    <row r="15">
      <c r="A15" s="0" t="inlineStr">
        <is>
          <t xml:space="preserve">2026-08</t>
        </is>
      </c>
      <c r="B15" s="0">
        <v>0</v>
      </c>
      <c r="C15" s="0">
        <v>61</v>
      </c>
      <c r="D15" s="0">
        <v>11</v>
      </c>
      <c r="E15" s="0">
        <v>5</v>
      </c>
      <c r="F15" s="0">
        <v>18</v>
      </c>
      <c r="G15" s="0">
        <f>SUM(B15:F15)</f>
      </c>
    </row>
    <row r="17">
      <c r="A17" s="6" t="inlineStr">
        <is>
          <t xml:space="preserve">CALIDAD Y CADENCIA POR MES</t>
        </is>
      </c>
    </row>
    <row r="18">
      <c r="A18" s="2" t="inlineStr">
        <is>
          <t xml:space="preserve">Mes</t>
        </is>
      </c>
      <c r="B18" s="2" t="inlineStr">
        <is>
          <t xml:space="preserve">Notas</t>
        </is>
      </c>
      <c r="C18" s="2" t="inlineStr">
        <is>
          <t xml:space="preserve">Score promedio</t>
        </is>
      </c>
      <c r="D18" s="2" t="inlineStr">
        <is>
          <t xml:space="preserve">Notas ≥70</t>
        </is>
      </c>
      <c r="E18" s="2" t="inlineStr">
        <is>
          <t xml:space="preserve">Lectura prom. (min)</t>
        </is>
      </c>
      <c r="F18" s="2" t="inlineStr">
        <is>
          <t xml:space="preserve">Días con publicación</t>
        </is>
      </c>
      <c r="G18" s="2" t="inlineStr">
        <is>
          <t xml:space="preserve">Notas por día activo</t>
        </is>
      </c>
    </row>
    <row r="19">
      <c r="A19" s="0" t="inlineStr">
        <is>
          <t xml:space="preserve">2025-11</t>
        </is>
      </c>
      <c r="B19" s="0">
        <v>1</v>
      </c>
      <c r="C19" s="0">
        <v>60.0</v>
      </c>
      <c r="D19" s="0">
        <v>0</v>
      </c>
      <c r="E19" s="0">
        <v>3.0</v>
      </c>
      <c r="F19" s="0">
        <v>1</v>
      </c>
      <c r="G19" s="0">
        <f>IFERROR(B19/F19,"")</f>
      </c>
    </row>
    <row r="20">
      <c r="A20" s="0" t="inlineStr">
        <is>
          <t xml:space="preserve">2025-12</t>
        </is>
      </c>
      <c r="B20" s="0">
        <v>3</v>
      </c>
      <c r="C20" s="0">
        <v>61.7</v>
      </c>
      <c r="D20" s="0">
        <v>0</v>
      </c>
      <c r="E20" s="0">
        <v>3.0</v>
      </c>
      <c r="F20" s="0">
        <v>3</v>
      </c>
      <c r="G20" s="0">
        <f>IFERROR(B20/F20,"")</f>
      </c>
    </row>
    <row r="21">
      <c r="A21" s="0" t="inlineStr">
        <is>
          <t xml:space="preserve">2026-01</t>
        </is>
      </c>
      <c r="B21" s="0">
        <v>3</v>
      </c>
      <c r="C21" s="0">
        <v>59.3</v>
      </c>
      <c r="D21" s="0">
        <v>0</v>
      </c>
      <c r="E21" s="0">
        <v>3.0</v>
      </c>
      <c r="F21" s="0">
        <v>3</v>
      </c>
      <c r="G21" s="0">
        <f>IFERROR(B21/F21,"")</f>
      </c>
    </row>
    <row r="22">
      <c r="A22" s="0" t="inlineStr">
        <is>
          <t xml:space="preserve">2026-02</t>
        </is>
      </c>
      <c r="B22" s="0">
        <v>2</v>
      </c>
      <c r="C22" s="0">
        <v>50.0</v>
      </c>
      <c r="D22" s="0">
        <v>0</v>
      </c>
      <c r="E22" s="0">
        <v>3.0</v>
      </c>
      <c r="F22" s="0">
        <v>2</v>
      </c>
      <c r="G22" s="0">
        <f>IFERROR(B22/F22,"")</f>
      </c>
    </row>
    <row r="23">
      <c r="A23" s="0" t="inlineStr">
        <is>
          <t xml:space="preserve">2026-03</t>
        </is>
      </c>
      <c r="B23" s="0">
        <v>1</v>
      </c>
      <c r="C23" s="0">
        <v>63.0</v>
      </c>
      <c r="D23" s="0">
        <v>0</v>
      </c>
      <c r="E23" s="0">
        <v>3.0</v>
      </c>
      <c r="F23" s="0">
        <v>1</v>
      </c>
      <c r="G23" s="0">
        <f>IFERROR(B23/F23,"")</f>
      </c>
    </row>
    <row r="24">
      <c r="A24" s="0" t="inlineStr">
        <is>
          <t xml:space="preserve">2026-04</t>
        </is>
      </c>
      <c r="B24" s="0">
        <v>3</v>
      </c>
      <c r="C24" s="0">
        <v>53.7</v>
      </c>
      <c r="D24" s="0">
        <v>0</v>
      </c>
      <c r="E24" s="0">
        <v>2.3</v>
      </c>
      <c r="F24" s="0">
        <v>3</v>
      </c>
      <c r="G24" s="0">
        <f>IFERROR(B24/F24,"")</f>
      </c>
    </row>
    <row r="25">
      <c r="A25" s="0" t="inlineStr">
        <is>
          <t xml:space="preserve">2026-05</t>
        </is>
      </c>
      <c r="B25" s="0">
        <v>4</v>
      </c>
      <c r="C25" s="0">
        <v>70.8</v>
      </c>
      <c r="D25" s="0">
        <v>2</v>
      </c>
      <c r="E25" s="0">
        <v>2.8</v>
      </c>
      <c r="F25" s="0">
        <v>4</v>
      </c>
      <c r="G25" s="0">
        <f>IFERROR(B25/F25,"")</f>
      </c>
    </row>
    <row r="26">
      <c r="A26" s="0" t="inlineStr">
        <is>
          <t xml:space="preserve">2026-06</t>
        </is>
      </c>
      <c r="B26" s="0">
        <v>5</v>
      </c>
      <c r="C26" s="0">
        <v>45.6</v>
      </c>
      <c r="D26" s="0">
        <v>0</v>
      </c>
      <c r="E26" s="0">
        <v>1.2</v>
      </c>
      <c r="F26" s="0">
        <v>5</v>
      </c>
      <c r="G26" s="0">
        <f>IFERROR(B26/F26,"")</f>
      </c>
    </row>
    <row r="27">
      <c r="A27" s="0" t="inlineStr">
        <is>
          <t xml:space="preserve">2026-07</t>
        </is>
      </c>
      <c r="B27" s="0">
        <v>60</v>
      </c>
      <c r="C27" s="0">
        <v>56.6</v>
      </c>
      <c r="D27" s="0">
        <v>11</v>
      </c>
      <c r="E27" s="0">
        <v>1.6</v>
      </c>
      <c r="F27" s="0">
        <v>14</v>
      </c>
      <c r="G27" s="0">
        <f>IFERROR(B27/F27,"")</f>
      </c>
    </row>
    <row r="28">
      <c r="A28" s="0" t="inlineStr">
        <is>
          <t xml:space="preserve">2026-08</t>
        </is>
      </c>
      <c r="B28" s="0">
        <v>95</v>
      </c>
      <c r="C28" s="0">
        <v>64.9</v>
      </c>
      <c r="D28" s="0">
        <v>33</v>
      </c>
      <c r="E28" s="0">
        <v>2.3</v>
      </c>
      <c r="F28" s="0">
        <v>23</v>
      </c>
      <c r="G28" s="0">
        <f>IFERROR(B28/F28,"")</f>
      </c>
    </row>
    <row r="30">
      <c r="A30" s="6" t="inlineStr">
        <is>
          <t xml:space="preserve">DISTRIBUCIÓN DE SCORES (boleta 0–99)</t>
        </is>
      </c>
    </row>
    <row r="31">
      <c r="A31" s="2" t="inlineStr">
        <is>
          <t xml:space="preserve">Decena</t>
        </is>
      </c>
      <c r="B31" s="2" t="inlineStr">
        <is>
          <t xml:space="preserve">Notas</t>
        </is>
      </c>
      <c r="C31" s="2" t="inlineStr">
        <is>
          <t xml:space="preserve">% del archivo</t>
        </is>
      </c>
    </row>
    <row r="32">
      <c r="A32" s="0" t="inlineStr">
        <is>
          <t xml:space="preserve">20–29</t>
        </is>
      </c>
      <c r="B32" s="0">
        <v>3</v>
      </c>
      <c r="C32" s="7">
        <f>IFERROR(B32/177,0)</f>
      </c>
    </row>
    <row r="33">
      <c r="A33" s="0" t="inlineStr">
        <is>
          <t xml:space="preserve">30–39</t>
        </is>
      </c>
      <c r="B33" s="0">
        <v>10</v>
      </c>
      <c r="C33" s="7">
        <f>IFERROR(B33/177,0)</f>
      </c>
    </row>
    <row r="34">
      <c r="A34" s="0" t="inlineStr">
        <is>
          <t xml:space="preserve">40–49</t>
        </is>
      </c>
      <c r="B34" s="0">
        <v>36</v>
      </c>
      <c r="C34" s="7">
        <f>IFERROR(B34/177,0)</f>
      </c>
    </row>
    <row r="35">
      <c r="A35" s="0" t="inlineStr">
        <is>
          <t xml:space="preserve">50–59</t>
        </is>
      </c>
      <c r="B35" s="0">
        <v>31</v>
      </c>
      <c r="C35" s="7">
        <f>IFERROR(B35/177,0)</f>
      </c>
    </row>
    <row r="36">
      <c r="A36" s="0" t="inlineStr">
        <is>
          <t xml:space="preserve">60–69</t>
        </is>
      </c>
      <c r="B36" s="0">
        <v>51</v>
      </c>
      <c r="C36" s="7">
        <f>IFERROR(B36/177,0)</f>
      </c>
    </row>
    <row r="37">
      <c r="A37" s="0" t="inlineStr">
        <is>
          <t xml:space="preserve">70–79</t>
        </is>
      </c>
      <c r="B37" s="0">
        <v>16</v>
      </c>
      <c r="C37" s="7">
        <f>IFERROR(B37/177,0)</f>
      </c>
    </row>
    <row r="38">
      <c r="A38" s="0" t="inlineStr">
        <is>
          <t xml:space="preserve">80–89</t>
        </is>
      </c>
      <c r="B38" s="0">
        <v>20</v>
      </c>
      <c r="C38" s="7">
        <f>IFERROR(B38/177,0)</f>
      </c>
    </row>
    <row r="39">
      <c r="A39" s="0" t="inlineStr">
        <is>
          <t xml:space="preserve">90–99</t>
        </is>
      </c>
      <c r="B39" s="0">
        <v>10</v>
      </c>
      <c r="C39" s="7">
        <f>IFERROR(B39/177,0)</f>
      </c>
    </row>
    <row r="41">
      <c r="A41" s="6" t="inlineStr">
        <is>
          <t xml:space="preserve">LECTURAS PROPIAS (article_reads — dato de primera parte)</t>
        </is>
      </c>
    </row>
    <row r="42">
      <c r="A42" s="2" t="inlineStr">
        <is>
          <t xml:space="preserve">Mes</t>
        </is>
      </c>
      <c r="B42" s="2" t="inlineStr">
        <is>
          <t xml:space="preserve">Lecturas</t>
        </is>
      </c>
      <c r="C42" s="2" t="inlineStr">
        <is>
          <t xml:space="preserve">Lectores únicos</t>
        </is>
      </c>
      <c r="D42" s="2" t="inlineStr">
        <is>
          <t xml:space="preserve">Lecturas por lector</t>
        </is>
      </c>
    </row>
    <row r="43">
      <c r="A43" s="0" t="inlineStr">
        <is>
          <t xml:space="preserve">2026-07</t>
        </is>
      </c>
      <c r="B43" s="0">
        <v>1010</v>
      </c>
      <c r="C43" s="0">
        <v>938</v>
      </c>
      <c r="D43" s="0">
        <f>IFERROR(B43/C43,"")</f>
      </c>
    </row>
    <row r="44">
      <c r="A44" s="0" t="inlineStr">
        <is>
          <t xml:space="preserve">2026-08</t>
        </is>
      </c>
      <c r="B44" s="0">
        <v>12024</v>
      </c>
      <c r="C44" s="0">
        <v>11681</v>
      </c>
      <c r="D44" s="0">
        <f>IFERROR(B44/C44,"")</f>
      </c>
    </row>
    <row r="46">
      <c r="A46" s="6" t="inlineStr">
        <is>
          <t xml:space="preserve">RECURRENCIA DE LECTORES</t>
        </is>
      </c>
    </row>
    <row r="47">
      <c r="A47" s="2" t="inlineStr">
        <is>
          <t xml:space="preserve">Lectores totales</t>
        </is>
      </c>
      <c r="B47" s="2" t="inlineStr">
        <is>
          <t xml:space="preserve">Con más de una lectura</t>
        </is>
      </c>
      <c r="C47" s="2" t="inlineStr">
        <is>
          <t xml:space="preserve">Activos en más de un mes</t>
        </is>
      </c>
      <c r="D47" s="2" t="inlineStr">
        <is>
          <t xml:space="preserve">% recurrente</t>
        </is>
      </c>
    </row>
    <row r="48">
      <c r="A48" s="0">
        <v>12612</v>
      </c>
      <c r="B48" s="0">
        <v>155</v>
      </c>
      <c r="C48" s="0">
        <v>7</v>
      </c>
      <c r="D48" s="7">
        <f>IFERROR(B48/A48,0)</f>
      </c>
    </row>
    <row r="49">
      <c r="A49" s="5" t="inlineStr">
        <is>
          <t xml:space="preserve">Nota: la identidad anónima vive en una cookie firmada de 2 años (middleware.ts) y los bots quedan fuera antes de registrarse la lectura, así que la recurrencia no es un artefacto de sesión. Subestima al lector que cambia de dispositivo, navega en incógnito o borra cookies.</t>
        </is>
      </c>
    </row>
    <row r="51">
      <c r="A51" s="6" t="inlineStr">
        <is>
          <t xml:space="preserve">COBERTURA DE TAGS</t>
        </is>
      </c>
    </row>
    <row r="52">
      <c r="A52" s="2" t="inlineStr">
        <is>
          <t xml:space="preserve">Campo</t>
        </is>
      </c>
      <c r="B52" s="2" t="inlineStr">
        <is>
          <t xml:space="preserve">Notas con el tag</t>
        </is>
      </c>
      <c r="C52" s="2" t="inlineStr">
        <is>
          <t xml:space="preserve">Total</t>
        </is>
      </c>
      <c r="D52" s="2" t="inlineStr">
        <is>
          <t xml:space="preserve">Cobertura</t>
        </is>
      </c>
    </row>
    <row r="53">
      <c r="A53" s="0" t="inlineStr">
        <is>
          <t xml:space="preserve">tags_scope</t>
        </is>
      </c>
      <c r="B53" s="0">
        <v>177</v>
      </c>
      <c r="C53" s="0">
        <v>177</v>
      </c>
      <c r="D53" s="7">
        <f>IFERROR(B53/C53,0)</f>
      </c>
    </row>
    <row r="54">
      <c r="A54" s="0" t="inlineStr">
        <is>
          <t xml:space="preserve">tags_sport</t>
        </is>
      </c>
      <c r="B54" s="0">
        <v>177</v>
      </c>
      <c r="C54" s="0">
        <v>177</v>
      </c>
      <c r="D54" s="7">
        <f>IFERROR(B54/C54,0)</f>
      </c>
    </row>
    <row r="55">
      <c r="A55" s="0" t="inlineStr">
        <is>
          <t xml:space="preserve">tags_vertical</t>
        </is>
      </c>
      <c r="B55" s="0">
        <v>177</v>
      </c>
      <c r="C55" s="0">
        <v>177</v>
      </c>
      <c r="D55" s="7">
        <f>IFERROR(B55/C55,0)</f>
      </c>
    </row>
    <row r="56">
      <c r="A56" s="0" t="inlineStr">
        <is>
          <t xml:space="preserve">tags_property (hubs)</t>
        </is>
      </c>
      <c r="B56" s="0">
        <v>19</v>
      </c>
      <c r="C56" s="0">
        <v>177</v>
      </c>
      <c r="D56" s="7">
        <f>IFERROR(B56/C56,0)</f>
      </c>
    </row>
    <row r="58">
      <c r="A58" s="6" t="inlineStr">
        <is>
          <t xml:space="preserve">ARTÍCULOS POR AUTOR</t>
        </is>
      </c>
    </row>
    <row r="59">
      <c r="A59" s="2" t="inlineStr">
        <is>
          <t xml:space="preserve">Autor</t>
        </is>
      </c>
      <c r="B59" s="2" t="inlineStr">
        <is>
          <t xml:space="preserve">Notas</t>
        </is>
      </c>
    </row>
    <row r="60">
      <c r="A60" s="0" t="inlineStr">
        <is>
          <t xml:space="preserve">(sin autor)</t>
        </is>
      </c>
      <c r="B60" s="0">
        <v>132</v>
      </c>
    </row>
    <row r="61">
      <c r="A61" s="0" t="inlineStr">
        <is>
          <t xml:space="preserve">Guillermo Mejía</t>
        </is>
      </c>
      <c r="B61" s="0">
        <v>26</v>
      </c>
    </row>
    <row r="62">
      <c r="A62" s="0" t="inlineStr">
        <is>
          <t xml:space="preserve">Carlos Diaz</t>
        </is>
      </c>
      <c r="B62" s="0">
        <v>3</v>
      </c>
    </row>
    <row r="63">
      <c r="A63" s="0" t="inlineStr">
        <is>
          <t xml:space="preserve">Saul Ulloa</t>
        </is>
      </c>
      <c r="B63" s="0">
        <v>2</v>
      </c>
    </row>
    <row r="64">
      <c r="A64" s="0" t="inlineStr">
        <is>
          <t xml:space="preserve">María José Archundia Cabrera</t>
        </is>
      </c>
      <c r="B64" s="0">
        <v>2</v>
      </c>
    </row>
    <row r="65">
      <c r="A65" s="0" t="inlineStr">
        <is>
          <t xml:space="preserve">Alejandro Grisi</t>
        </is>
      </c>
      <c r="B65" s="0">
        <v>2</v>
      </c>
    </row>
    <row r="66">
      <c r="A66" s="0" t="inlineStr">
        <is>
          <t xml:space="preserve">Adrian Elizondo</t>
        </is>
      </c>
      <c r="B66" s="0">
        <v>2</v>
      </c>
    </row>
    <row r="67">
      <c r="A67" s="0" t="inlineStr">
        <is>
          <t xml:space="preserve">Aldo Sales</t>
        </is>
      </c>
      <c r="B67" s="0">
        <v>2</v>
      </c>
    </row>
    <row r="68">
      <c r="A68" s="0" t="inlineStr">
        <is>
          <t xml:space="preserve">[Rodrigo Dosal](https://www.instagram.com/rodrigo_dosal/), fundador de</t>
        </is>
      </c>
      <c r="B68" s="0">
        <v>1</v>
      </c>
    </row>
    <row r="69">
      <c r="A69" s="0" t="inlineStr">
        <is>
          <t xml:space="preserve">Marco Escobar</t>
        </is>
      </c>
      <c r="B69" s="0">
        <v>1</v>
      </c>
    </row>
    <row r="71">
      <c r="A71" s="6" t="inlineStr">
        <is>
          <t xml:space="preserve">TOP 10 ARTÍCULOS POR LECTURAS PROPIAS</t>
        </is>
      </c>
    </row>
    <row r="72">
      <c r="A72" s="2" t="inlineStr">
        <is>
          <t xml:space="preserve">Artículo</t>
        </is>
      </c>
      <c r="B72" s="2" t="inlineStr">
        <is>
          <t xml:space="preserve">Lecturas</t>
        </is>
      </c>
    </row>
    <row r="73">
      <c r="A73" s="0" t="inlineStr">
        <is>
          <t xml:space="preserve">fox-sports-mexico-pierde-a-izzi-y-sky-y-tambien-el-nombre</t>
        </is>
      </c>
      <c r="B73" s="0">
        <v>672</v>
      </c>
    </row>
    <row r="74">
      <c r="A74" s="0" t="inlineStr">
        <is>
          <t xml:space="preserve">liga-f-no-encuentra-comprador-para-sus-derechos-de-tv-y-abre-una-segunda-ronda-d</t>
        </is>
      </c>
      <c r="B74" s="0">
        <v>248</v>
      </c>
    </row>
    <row r="75">
      <c r="A75" s="0" t="inlineStr">
        <is>
          <t xml:space="preserve">infantino-tiene-los-votos-de-su-lado-para-la-reeleccion-en-fifa</t>
        </is>
      </c>
      <c r="B75" s="0">
        <v>248</v>
      </c>
    </row>
    <row r="76">
      <c r="A76" s="0" t="inlineStr">
        <is>
          <t xml:space="preserve">liga-mx-sin-ascenso-descenso</t>
        </is>
      </c>
      <c r="B76" s="0">
        <v>219</v>
      </c>
    </row>
    <row r="77">
      <c r="A77" s="0" t="inlineStr">
        <is>
          <t xml:space="preserve">mexico-mundial-clubes-2029</t>
        </is>
      </c>
      <c r="B77" s="0">
        <v>214</v>
      </c>
    </row>
    <row r="78">
      <c r="A78" s="0" t="inlineStr">
        <is>
          <t xml:space="preserve">liga-f-abre-la-puja-por-sus-derechos-de-tv-con-pau-gasol-como-socio</t>
        </is>
      </c>
      <c r="B78" s="0">
        <v>208</v>
      </c>
    </row>
    <row r="79">
      <c r="A79" s="0" t="inlineStr">
        <is>
          <t xml:space="preserve">fifa-mundial-64-equipos</t>
        </is>
      </c>
      <c r="B79" s="0">
        <v>193</v>
      </c>
    </row>
    <row r="80">
      <c r="A80" s="0" t="inlineStr">
        <is>
          <t xml:space="preserve">infantino-propone-vender-el-20-del-mundial-en-un-plan-de-20-000-millones-de-dola</t>
        </is>
      </c>
      <c r="B80" s="0">
        <v>183</v>
      </c>
    </row>
    <row r="81">
      <c r="A81" s="0" t="inlineStr">
        <is>
          <t xml:space="preserve">isaac-del-toro-extiende-contrato-con-uae-team-emirates-hasta-2031</t>
        </is>
      </c>
      <c r="B81" s="0">
        <v>177</v>
      </c>
    </row>
    <row r="82">
      <c r="A82" s="0" t="inlineStr">
        <is>
          <t xml:space="preserve">fifa-quiere-us-4-000-millones-por-dos-mundiales-de-estados-unidos</t>
        </is>
      </c>
      <c r="B82" s="0">
        <v>174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26" customWidth="1"/>
    <col min="2" max="2" width="46" customWidth="1"/>
    <col min="3" max="3" width="30" customWidth="1"/>
    <col min="4" max="4" width="12" customWidth="1"/>
    <col min="5" max="5" width="52" customWidth="1"/>
    <col min="6" max="6" width="26" customWidth="1"/>
  </cols>
  <sheetData>
    <row r="1">
      <c r="A1" s="1" t="inlineStr">
        <is>
          <t xml:space="preserve">Definiciones</t>
        </is>
      </c>
    </row>
    <row r="3">
      <c r="A3" s="2" t="inlineStr">
        <is>
          <t xml:space="preserve">Métrica</t>
        </is>
      </c>
      <c r="B3" s="2" t="inlineStr">
        <is>
          <t xml:space="preserve">Definición en una frase</t>
        </is>
      </c>
      <c r="C3" s="2" t="inlineStr">
        <is>
          <t xml:space="preserve">Fuente exacta</t>
        </is>
      </c>
      <c r="D3" s="2" t="inlineStr">
        <is>
          <t xml:space="preserve">Frecuencia</t>
        </is>
      </c>
      <c r="E3" s="2" t="inlineStr">
        <is>
          <t xml:space="preserve">Por qué le importa al CEO</t>
        </is>
      </c>
      <c r="F3" s="2" t="inlineStr">
        <is>
          <t xml:space="preserve">Estado</t>
        </is>
      </c>
    </row>
    <row r="4">
      <c r="A4" s="0" t="inlineStr">
        <is>
          <t xml:space="preserve">Usuarios activos</t>
        </is>
      </c>
      <c r="B4" s="0" t="inlineStr">
        <is>
          <t xml:space="preserve">Personas distintas que abrieron al menos una página en el periodo.</t>
        </is>
      </c>
      <c r="C4" s="0" t="inlineStr">
        <is>
          <t xml:space="preserve">GA4 › Adquisición › Visión general</t>
        </is>
      </c>
      <c r="D4" s="0" t="inlineStr">
        <is>
          <t xml:space="preserve">Mensual</t>
        </is>
      </c>
      <c r="E4" s="0" t="inlineStr">
        <is>
          <t xml:space="preserve">Es el tamaño real de la audiencia; sin esto no hay denominador para nada más.</t>
        </is>
      </c>
      <c r="F4" s="0" t="inlineStr">
        <is>
          <t xml:space="preserve">PENDIENTE DE INSTRUMENTACIÓN</t>
        </is>
      </c>
    </row>
    <row r="5">
      <c r="A5" s="0" t="inlineStr">
        <is>
          <t xml:space="preserve">Usuarios recurrentes</t>
        </is>
      </c>
      <c r="B5" s="0" t="inlineStr">
        <is>
          <t xml:space="preserve">Usuarios que ya habían visitado antes del periodo.</t>
        </is>
      </c>
      <c r="C5" s="0" t="inlineStr">
        <is>
          <t xml:space="preserve">GA4 › Retención + article_reads del portal</t>
        </is>
      </c>
      <c r="D5" s="0" t="inlineStr">
        <is>
          <t xml:space="preserve">Mensual</t>
        </is>
      </c>
      <c r="E5" s="0" t="inlineStr">
        <is>
          <t xml:space="preserve">Un medio que sólo capta usuarios nuevos alquila audiencia; no la construye.</t>
        </is>
      </c>
      <c r="F5" s="0" t="inlineStr">
        <is>
          <t xml:space="preserve">PARCIAL — el dato propio ya existe</t>
        </is>
      </c>
    </row>
    <row r="6">
      <c r="A6" s="0" t="inlineStr">
        <is>
          <t xml:space="preserve">Lecturas por lector</t>
        </is>
      </c>
      <c r="B6" s="0" t="inlineStr">
        <is>
          <t xml:space="preserve">Lecturas registradas ÷ lectores únicos.</t>
        </is>
      </c>
      <c r="C6" s="0" t="inlineStr">
        <is>
          <t xml:space="preserve">Portal › article_reads</t>
        </is>
      </c>
      <c r="D6" s="0" t="inlineStr">
        <is>
          <t xml:space="preserve">Mensual</t>
        </is>
      </c>
      <c r="E6" s="0" t="inlineStr">
        <is>
          <t xml:space="preserve">Recirculación. Si vale 1.00, cada visitante lee una nota y se va: el archivo no trabaja.</t>
        </is>
      </c>
      <c r="F6" s="0" t="inlineStr">
        <is>
          <t xml:space="preserve">REAL</t>
        </is>
      </c>
    </row>
    <row r="7">
      <c r="A7" s="0" t="inlineStr">
        <is>
          <t xml:space="preserve">% de lectores recurrentes</t>
        </is>
      </c>
      <c r="B7" s="0" t="inlineStr">
        <is>
          <t xml:space="preserve">Lectores con más de una lectura ÷ lectores totales.</t>
        </is>
      </c>
      <c r="C7" s="0" t="inlineStr">
        <is>
          <t xml:space="preserve">Portal › article_reads</t>
        </is>
      </c>
      <c r="D7" s="0" t="inlineStr">
        <is>
          <t xml:space="preserve">Mensual</t>
        </is>
      </c>
      <c r="E7" s="0" t="inlineStr">
        <is>
          <t xml:space="preserve">Mide si el portal genera hábito o sólo picos de tráfico.</t>
        </is>
      </c>
      <c r="F7" s="0" t="inlineStr">
        <is>
          <t xml:space="preserve">REAL</t>
        </is>
      </c>
    </row>
    <row r="8">
      <c r="A8" s="0" t="inlineStr">
        <is>
          <t xml:space="preserve">Conversión web → newsletter</t>
        </is>
      </c>
      <c r="B8" s="0" t="inlineStr">
        <is>
          <t xml:space="preserve">Altas de newsletter ÷ sesiones del periodo.</t>
        </is>
      </c>
      <c r="C8" s="0" t="inlineStr">
        <is>
          <t xml:space="preserve">Substack (altas) + GA4 (sesiones)</t>
        </is>
      </c>
      <c r="D8" s="0" t="inlineStr">
        <is>
          <t xml:space="preserve">Mensual</t>
        </is>
      </c>
      <c r="E8" s="0" t="inlineStr">
        <is>
          <t xml:space="preserve">Convierte tráfico prestado en audiencia propia; es el activo que no depende de un algoritmo.</t>
        </is>
      </c>
      <c r="F8" s="0" t="inlineStr">
        <is>
          <t xml:space="preserve">PENDIENTE DE INSTRUMENTACIÓN</t>
        </is>
      </c>
    </row>
    <row r="9">
      <c r="A9" s="0" t="inlineStr">
        <is>
          <t xml:space="preserve">Notas publicadas</t>
        </is>
      </c>
      <c r="B9" s="0" t="inlineStr">
        <is>
          <t xml:space="preserve">Artículos con status published en el periodo.</t>
        </is>
      </c>
      <c r="C9" s="0" t="inlineStr">
        <is>
          <t xml:space="preserve">Portal › articles</t>
        </is>
      </c>
      <c r="D9" s="0" t="inlineStr">
        <is>
          <t xml:space="preserve">Mensual</t>
        </is>
      </c>
      <c r="E9" s="0" t="inlineStr">
        <is>
          <t xml:space="preserve">Velocidad de publicación: la capacidad instalada de la redacción.</t>
        </is>
      </c>
      <c r="F9" s="0" t="inlineStr">
        <is>
          <t xml:space="preserve">REAL</t>
        </is>
      </c>
    </row>
    <row r="10">
      <c r="A10" s="0" t="inlineStr">
        <is>
          <t xml:space="preserve">Score promedio (boleta 0–99)</t>
        </is>
      </c>
      <c r="B10" s="0" t="inlineStr">
        <is>
          <t xml:space="preserve">Promedio del score de la boleta editorial.</t>
        </is>
      </c>
      <c r="C10" s="0" t="inlineStr">
        <is>
          <t xml:space="preserve">Portal › articles.score (lib/rank.ts)</t>
        </is>
      </c>
      <c r="D10" s="0" t="inlineStr">
        <is>
          <t xml:space="preserve">Mensual</t>
        </is>
      </c>
      <c r="E10" s="0" t="inlineStr">
        <is>
          <t xml:space="preserve">Calidad de publicación medida por lo que la nota CONTIENE, no por entusiasmo.</t>
        </is>
      </c>
      <c r="F10" s="0" t="inlineStr">
        <is>
          <t xml:space="preserve">REAL</t>
        </is>
      </c>
    </row>
    <row r="11">
      <c r="A11" s="0" t="inlineStr">
        <is>
          <t xml:space="preserve">Notas ≥70</t>
        </is>
      </c>
      <c r="B11" s="0" t="inlineStr">
        <is>
          <t xml:space="preserve">Notas que superan el umbral de portada fuerte.</t>
        </is>
      </c>
      <c r="C11" s="0" t="inlineStr">
        <is>
          <t xml:space="preserve">Portal › articles.score</t>
        </is>
      </c>
      <c r="D11" s="0" t="inlineStr">
        <is>
          <t xml:space="preserve">Mensual</t>
        </is>
      </c>
      <c r="E11" s="0" t="inlineStr">
        <is>
          <t xml:space="preserve">Cuántas piezas de verdad mueven la aguja, no cuántas se publicaron.</t>
        </is>
      </c>
      <c r="F11" s="0" t="inlineStr">
        <is>
          <t xml:space="preserve">REAL</t>
        </is>
      </c>
    </row>
    <row r="12">
      <c r="A12" s="0" t="inlineStr">
        <is>
          <t xml:space="preserve">Cobertura de tags</t>
        </is>
      </c>
      <c r="B12" s="0" t="inlineStr">
        <is>
          <t xml:space="preserve">Notas con cada campo de taxonomía poblado.</t>
        </is>
      </c>
      <c r="C12" s="0" t="inlineStr">
        <is>
          <t xml:space="preserve">Portal › articles.tags_*</t>
        </is>
      </c>
      <c r="D12" s="0" t="inlineStr">
        <is>
          <t xml:space="preserve">Mensual</t>
        </is>
      </c>
      <c r="E12" s="0" t="inlineStr">
        <is>
          <t xml:space="preserve">Un archivo mal etiquetado no se puede recircular ni vender por vertical.</t>
        </is>
      </c>
      <c r="F12" s="0" t="inlineStr">
        <is>
          <t xml:space="preserve">REAL</t>
        </is>
      </c>
    </row>
    <row r="13">
      <c r="A13" s="0" t="inlineStr">
        <is>
          <t xml:space="preserve">Sesiones / Vistas de página</t>
        </is>
      </c>
      <c r="B13" s="0" t="inlineStr">
        <is>
          <t xml:space="preserve">Visitas y páginas vistas en el periodo.</t>
        </is>
      </c>
      <c r="C13" s="0" t="inlineStr">
        <is>
          <t xml:space="preserve">GA4 › Adquisición e Interacción</t>
        </is>
      </c>
      <c r="D13" s="0" t="inlineStr">
        <is>
          <t xml:space="preserve">Mensual</t>
        </is>
      </c>
      <c r="E13" s="0" t="inlineStr">
        <is>
          <t xml:space="preserve">Base de tráfico y contexto de todo lo demás.</t>
        </is>
      </c>
      <c r="F13" s="0" t="inlineStr">
        <is>
          <t xml:space="preserve">PENDIENTE DE INSTRUMENTACIÓN</t>
        </is>
      </c>
    </row>
    <row r="14">
      <c r="A14" s="0" t="inlineStr">
        <is>
          <t xml:space="preserve">Canales de adquisición</t>
        </is>
      </c>
      <c r="B14" s="0" t="inlineStr">
        <is>
          <t xml:space="preserve">De dónde llega el tráfico (orgánico, social, directo, referral).</t>
        </is>
      </c>
      <c r="C14" s="0" t="inlineStr">
        <is>
          <t xml:space="preserve">GA4 › Adquisición de tráfico</t>
        </is>
      </c>
      <c r="D14" s="0" t="inlineStr">
        <is>
          <t xml:space="preserve">Mensual</t>
        </is>
      </c>
      <c r="E14" s="0" t="inlineStr">
        <is>
          <t xml:space="preserve">Dice qué parte de la audiencia es propia y qué parte es alquilada a una plataforma.</t>
        </is>
      </c>
      <c r="F14" s="0" t="inlineStr">
        <is>
          <t xml:space="preserve">PENDIENTE DE INSTRUMENTACIÓN</t>
        </is>
      </c>
    </row>
    <row r="15">
      <c r="A15" s="0" t="inlineStr">
        <is>
          <t xml:space="preserve">Tiempo de lectura</t>
        </is>
      </c>
      <c r="B15" s="0" t="inlineStr">
        <is>
          <t xml:space="preserve">Tiempo medio de interacción por página.</t>
        </is>
      </c>
      <c r="C15" s="0" t="inlineStr">
        <is>
          <t xml:space="preserve">GA4 › Páginas y pantallas</t>
        </is>
      </c>
      <c r="D15" s="0" t="inlineStr">
        <is>
          <t xml:space="preserve">Mensual</t>
        </is>
      </c>
      <c r="E15" s="0" t="inlineStr">
        <is>
          <t xml:space="preserve">Distingue el clic del titular de la lectura real; es la diferencia entre alcance y atención.</t>
        </is>
      </c>
      <c r="F15" s="0" t="inlineStr">
        <is>
          <t xml:space="preserve">PENDIENTE DE INSTRUMENTACIÓN</t>
        </is>
      </c>
    </row>
    <row r="16">
      <c r="A16" s="0" t="inlineStr">
        <is>
          <t xml:space="preserve">Mobile vs desktop</t>
        </is>
      </c>
      <c r="B16" s="0" t="inlineStr">
        <is>
          <t xml:space="preserve">Reparto de usuarios por tipo de dispositivo.</t>
        </is>
      </c>
      <c r="C16" s="0" t="inlineStr">
        <is>
          <t xml:space="preserve">GA4 › Tecnología</t>
        </is>
      </c>
      <c r="D16" s="0" t="inlineStr">
        <is>
          <t xml:space="preserve">Mensual</t>
        </is>
      </c>
      <c r="E16" s="0" t="inlineStr">
        <is>
          <t xml:space="preserve">Decide dónde se invierte el esfuerzo de producto.</t>
        </is>
      </c>
      <c r="F16" s="0" t="inlineStr">
        <is>
          <t xml:space="preserve">PENDIENTE DE INSTRUMENTACIÓN</t>
        </is>
      </c>
    </row>
    <row r="17">
      <c r="A17" s="0" t="inlineStr">
        <is>
          <t xml:space="preserve">Top artículos</t>
        </is>
      </c>
      <c r="B17" s="0" t="inlineStr">
        <is>
          <t xml:space="preserve">Notas más leídas del periodo.</t>
        </is>
      </c>
      <c r="C17" s="0" t="inlineStr">
        <is>
          <t xml:space="preserve">Portal › article_reads (propio) y GA4 › Páginas</t>
        </is>
      </c>
      <c r="D17" s="0" t="inlineStr">
        <is>
          <t xml:space="preserve">Mensual</t>
        </is>
      </c>
      <c r="E17" s="0" t="inlineStr">
        <is>
          <t xml:space="preserve">Muestra qué temas pagan, con dato propio que no depende de consentimiento de cookies.</t>
        </is>
      </c>
      <c r="F17" s="0" t="inlineStr">
        <is>
          <t xml:space="preserve">REAL</t>
        </is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5" customWidth="1"/>
    <col min="2" max="2" width="100" customWidth="1"/>
  </cols>
  <sheetData>
    <row r="1">
      <c r="A1" s="1" t="inlineStr">
        <is>
          <t xml:space="preserve">Instrucciones</t>
        </is>
      </c>
    </row>
    <row r="3">
      <c r="A3" s="6" t="inlineStr">
        <is>
          <t xml:space="preserve">Actualizar este archivo cada mes — 4 pasos</t>
        </is>
      </c>
    </row>
    <row r="4">
      <c r="A4" s="0" t="inlineStr">
        <is>
          <t xml:space="preserve">1</t>
        </is>
      </c>
      <c r="B4" s="0" t="inlineStr">
        <is>
          <t xml:space="preserve">Abrir GA4 y hacer los cinco exports que lista docs/metricas-website-runbook.md. Ese documento trae la ruta de clics exacta, el rango de fechas, y las dimensiones y métricas de cada reporte. Está escrito para alguien que nunca ha abierto GA4.</t>
        </is>
      </c>
    </row>
    <row r="5">
      <c r="A5" s="0" t="inlineStr">
        <is>
          <t xml:space="preserve">2</t>
        </is>
      </c>
      <c r="B5" s="0" t="inlineStr">
        <is>
          <t xml:space="preserve">Pegar cada export en su bloque de la hoja Datos_GA4, empezando en la primera fila vacía DEBAJO del encabezado. No reordenar ni renombrar columnas: las fórmulas y las gráficas apuntan a rangos con nombre y esperan ese orden.</t>
        </is>
      </c>
    </row>
    <row r="6">
      <c r="A6" s="0" t="inlineStr">
        <is>
          <t xml:space="preserve">3</t>
        </is>
      </c>
      <c r="B6" s="0" t="inlineStr">
        <is>
          <t xml:space="preserve">Refrescar el dato del portal ejecutando, desde la raíz del repo: POSTGRES_URL=… python3 scripts/build-metrics-dashboard.py Eso regenera el archivo con los números de la base al día.</t>
        </is>
      </c>
    </row>
    <row r="7">
      <c r="A7" s="0" t="inlineStr">
        <is>
          <t xml:space="preserve">4</t>
        </is>
      </c>
      <c r="B7" s="0" t="inlineStr">
        <is>
          <t xml:space="preserve">Revisar la hoja Resumen. Las gráficas y los KPI se recalculan solos; no hay ningún número escrito a mano dentro de una gráfica.</t>
        </is>
      </c>
    </row>
    <row r="9">
      <c r="A9" s="6" t="inlineStr">
        <is>
          <t xml:space="preserve">Reglas de este archivo</t>
        </is>
      </c>
    </row>
    <row r="10">
      <c r="A10" s="0" t="inlineStr">
        <is>
          <t xml:space="preserve">·</t>
        </is>
      </c>
      <c r="B10" s="0" t="inlineStr">
        <is>
          <t xml:space="preserve">Ninguna gráfica contiene valores fijos: todas leen rangos de celdas. Cambiar un dato cambia la gráfica sin tocarla.</t>
        </is>
      </c>
    </row>
    <row r="11">
      <c r="A11" s="0" t="inlineStr">
        <is>
          <t xml:space="preserve">·</t>
        </is>
      </c>
      <c r="B11" s="0" t="inlineStr">
        <is>
          <t xml:space="preserve">Las filas marcadas EJEMPLO en ámbar son ilustrativas y NO entran en ningún cálculo. Se pueden borrar sin romper nada.</t>
        </is>
      </c>
    </row>
    <row r="12">
      <c r="A12" s="0" t="inlineStr">
        <is>
          <t xml:space="preserve">·</t>
        </is>
      </c>
      <c r="B12" s="0" t="inlineStr">
        <is>
          <t xml:space="preserve">Datos_Portal es real y se regenera desde la base. Datos_GA4 nace vacía a propósito: no hay credenciales de GA4 en el repo, y una cifra inventada en un dashboard de dirección es peor que una celda vacía.</t>
        </is>
      </c>
    </row>
    <row r="13">
      <c r="A13" s="0" t="inlineStr">
        <is>
          <t xml:space="preserve">·</t>
        </is>
      </c>
      <c r="B13" s="0" t="inlineStr">
        <is>
          <t xml:space="preserve">Lo que hoy no se puede medir aparece como PENDIENTE DE INSTRUMENTACIÓN en Resumen y en Definiciones, en vez de omitirse. Un hueco visible se arregla; uno omitido no.</t>
        </is>
      </c>
    </row>
  </sheetData>
</worksheet>
</file>